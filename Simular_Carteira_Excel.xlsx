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-120" yWindow="-120" windowWidth="20520" windowHeight="7875" tabRatio="882"/>
  </bookViews>
  <sheets>
    <sheet name="Carteiras" sheetId="14" r:id="rId1"/>
    <sheet name="Dado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" l="1"/>
  <c r="AF8" i="1" s="1"/>
  <c r="S7" i="14" s="1"/>
  <c r="AC7" i="1"/>
  <c r="K4" i="14"/>
  <c r="K5" i="14"/>
  <c r="K6" i="14"/>
  <c r="K7" i="14"/>
  <c r="K8" i="14"/>
  <c r="K9" i="14"/>
  <c r="K10" i="14"/>
  <c r="M5" i="1" a="1"/>
  <c r="M5" i="1"/>
  <c r="AW5" i="1" a="1"/>
  <c r="AW5" i="1"/>
  <c r="N9" i="1" a="1"/>
  <c r="N9" i="1"/>
  <c r="O9" i="1" a="1"/>
  <c r="O9" i="1"/>
  <c r="P9" i="1" a="1"/>
  <c r="P9" i="1"/>
  <c r="Q9" i="1" a="1"/>
  <c r="Q9" i="1"/>
  <c r="M9" i="1" a="1"/>
  <c r="M9" i="1"/>
  <c r="N8" i="1" a="1"/>
  <c r="N8" i="1"/>
  <c r="O8" i="1" a="1"/>
  <c r="O8" i="1"/>
  <c r="P8" i="1" a="1"/>
  <c r="P8" i="1"/>
  <c r="Q8" i="1" a="1"/>
  <c r="Q8" i="1"/>
  <c r="M8" i="1" a="1"/>
  <c r="M8" i="1"/>
  <c r="Z27" i="1"/>
  <c r="AA27" i="1"/>
  <c r="AB27" i="1"/>
  <c r="AC27" i="1"/>
  <c r="Y27" i="1"/>
  <c r="AA26" i="1"/>
  <c r="AB26" i="1"/>
  <c r="AC26" i="1"/>
  <c r="Z26" i="1"/>
  <c r="Y26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J6" i="1"/>
  <c r="BK6" i="1"/>
  <c r="BL6" i="1"/>
  <c r="BM6" i="1"/>
  <c r="BJ7" i="1"/>
  <c r="BK7" i="1"/>
  <c r="BL7" i="1"/>
  <c r="BM7" i="1"/>
  <c r="BJ8" i="1"/>
  <c r="BK8" i="1"/>
  <c r="BL8" i="1"/>
  <c r="BM8" i="1"/>
  <c r="BJ9" i="1"/>
  <c r="BK9" i="1"/>
  <c r="BL9" i="1"/>
  <c r="BM9" i="1"/>
  <c r="BJ10" i="1"/>
  <c r="BK10" i="1"/>
  <c r="BL10" i="1"/>
  <c r="BM10" i="1"/>
  <c r="BJ11" i="1"/>
  <c r="BK11" i="1"/>
  <c r="BL11" i="1"/>
  <c r="BM11" i="1"/>
  <c r="BJ12" i="1"/>
  <c r="BK12" i="1"/>
  <c r="BL12" i="1"/>
  <c r="BM12" i="1"/>
  <c r="BJ13" i="1"/>
  <c r="BK13" i="1"/>
  <c r="BL13" i="1"/>
  <c r="BM13" i="1"/>
  <c r="BJ14" i="1"/>
  <c r="BK14" i="1"/>
  <c r="BL14" i="1"/>
  <c r="BM14" i="1"/>
  <c r="BJ15" i="1"/>
  <c r="BK15" i="1"/>
  <c r="BL15" i="1"/>
  <c r="BM15" i="1"/>
  <c r="BJ16" i="1"/>
  <c r="BK16" i="1"/>
  <c r="BL16" i="1"/>
  <c r="BM16" i="1"/>
  <c r="BJ17" i="1"/>
  <c r="BK17" i="1"/>
  <c r="BL17" i="1"/>
  <c r="BM17" i="1"/>
  <c r="BJ18" i="1"/>
  <c r="BK18" i="1"/>
  <c r="BL18" i="1"/>
  <c r="BM18" i="1"/>
  <c r="BJ19" i="1"/>
  <c r="BK19" i="1"/>
  <c r="BL19" i="1"/>
  <c r="BM19" i="1"/>
  <c r="BJ20" i="1"/>
  <c r="BK20" i="1"/>
  <c r="BL20" i="1"/>
  <c r="BM20" i="1"/>
  <c r="BJ21" i="1"/>
  <c r="BK21" i="1"/>
  <c r="BL21" i="1"/>
  <c r="BM21" i="1"/>
  <c r="BJ22" i="1"/>
  <c r="BK22" i="1"/>
  <c r="BL22" i="1"/>
  <c r="BM22" i="1"/>
  <c r="BJ23" i="1"/>
  <c r="BK23" i="1"/>
  <c r="BL23" i="1"/>
  <c r="BM23" i="1"/>
  <c r="BJ24" i="1"/>
  <c r="BK24" i="1"/>
  <c r="BL24" i="1"/>
  <c r="BM24" i="1"/>
  <c r="BJ25" i="1"/>
  <c r="BK25" i="1"/>
  <c r="BL25" i="1"/>
  <c r="BM25" i="1"/>
  <c r="BJ26" i="1"/>
  <c r="BK26" i="1"/>
  <c r="BL26" i="1"/>
  <c r="BM26" i="1"/>
  <c r="BJ27" i="1"/>
  <c r="BK27" i="1"/>
  <c r="BL27" i="1"/>
  <c r="BM27" i="1"/>
  <c r="BJ28" i="1"/>
  <c r="BK28" i="1"/>
  <c r="BL28" i="1"/>
  <c r="BM28" i="1"/>
  <c r="BJ29" i="1"/>
  <c r="BK29" i="1"/>
  <c r="BL29" i="1"/>
  <c r="BM29" i="1"/>
  <c r="BJ30" i="1"/>
  <c r="BK30" i="1"/>
  <c r="BL30" i="1"/>
  <c r="BM30" i="1"/>
  <c r="BJ31" i="1"/>
  <c r="BK31" i="1"/>
  <c r="BL31" i="1"/>
  <c r="BM31" i="1"/>
  <c r="BJ32" i="1"/>
  <c r="BK32" i="1"/>
  <c r="BL32" i="1"/>
  <c r="BM32" i="1"/>
  <c r="BJ33" i="1"/>
  <c r="BK33" i="1"/>
  <c r="BL33" i="1"/>
  <c r="BM33" i="1"/>
  <c r="BJ34" i="1"/>
  <c r="BK34" i="1"/>
  <c r="BL34" i="1"/>
  <c r="BM34" i="1"/>
  <c r="BJ35" i="1"/>
  <c r="BK35" i="1"/>
  <c r="BL35" i="1"/>
  <c r="BM35" i="1"/>
  <c r="BJ36" i="1"/>
  <c r="BK36" i="1"/>
  <c r="BL36" i="1"/>
  <c r="BM36" i="1"/>
  <c r="BJ37" i="1"/>
  <c r="BK37" i="1"/>
  <c r="BL37" i="1"/>
  <c r="BM37" i="1"/>
  <c r="BJ38" i="1"/>
  <c r="BK38" i="1"/>
  <c r="BL38" i="1"/>
  <c r="BM38" i="1"/>
  <c r="BJ39" i="1"/>
  <c r="BK39" i="1"/>
  <c r="BL39" i="1"/>
  <c r="BM39" i="1"/>
  <c r="BJ40" i="1"/>
  <c r="BK40" i="1"/>
  <c r="BL40" i="1"/>
  <c r="BM40" i="1"/>
  <c r="BJ41" i="1"/>
  <c r="BK41" i="1"/>
  <c r="BL41" i="1"/>
  <c r="BM41" i="1"/>
  <c r="BJ42" i="1"/>
  <c r="BK42" i="1"/>
  <c r="BL42" i="1"/>
  <c r="BM42" i="1"/>
  <c r="BJ43" i="1"/>
  <c r="BK43" i="1"/>
  <c r="BL43" i="1"/>
  <c r="BM43" i="1"/>
  <c r="BJ44" i="1"/>
  <c r="BK44" i="1"/>
  <c r="BL44" i="1"/>
  <c r="BM44" i="1"/>
  <c r="BJ45" i="1"/>
  <c r="BK45" i="1"/>
  <c r="BL45" i="1"/>
  <c r="BM45" i="1"/>
  <c r="BJ46" i="1"/>
  <c r="BK46" i="1"/>
  <c r="BL46" i="1"/>
  <c r="BM46" i="1"/>
  <c r="BJ47" i="1"/>
  <c r="BK47" i="1"/>
  <c r="BL47" i="1"/>
  <c r="BM47" i="1"/>
  <c r="BJ48" i="1"/>
  <c r="BK48" i="1"/>
  <c r="BL48" i="1"/>
  <c r="BM48" i="1"/>
  <c r="BJ49" i="1"/>
  <c r="BK49" i="1"/>
  <c r="BL49" i="1"/>
  <c r="BM49" i="1"/>
  <c r="BJ50" i="1"/>
  <c r="BK50" i="1"/>
  <c r="BL50" i="1"/>
  <c r="BM50" i="1"/>
  <c r="BJ51" i="1"/>
  <c r="BK51" i="1"/>
  <c r="BL51" i="1"/>
  <c r="BM51" i="1"/>
  <c r="BJ52" i="1"/>
  <c r="BK52" i="1"/>
  <c r="BL52" i="1"/>
  <c r="BM52" i="1"/>
  <c r="BJ53" i="1"/>
  <c r="BK53" i="1"/>
  <c r="BL53" i="1"/>
  <c r="BM53" i="1"/>
  <c r="BJ54" i="1"/>
  <c r="BK54" i="1"/>
  <c r="BL54" i="1"/>
  <c r="BM54" i="1"/>
  <c r="BJ55" i="1"/>
  <c r="BK55" i="1"/>
  <c r="BL55" i="1"/>
  <c r="BM55" i="1"/>
  <c r="BJ56" i="1"/>
  <c r="BK56" i="1"/>
  <c r="BL56" i="1"/>
  <c r="BM56" i="1"/>
  <c r="BJ57" i="1"/>
  <c r="BK57" i="1"/>
  <c r="BL57" i="1"/>
  <c r="BM57" i="1"/>
  <c r="BJ58" i="1"/>
  <c r="BK58" i="1"/>
  <c r="BL58" i="1"/>
  <c r="BM58" i="1"/>
  <c r="BJ5" i="1"/>
  <c r="BK5" i="1"/>
  <c r="BL5" i="1"/>
  <c r="BM5" i="1"/>
  <c r="BI5" i="1"/>
  <c r="AX6" i="1"/>
  <c r="AY6" i="1"/>
  <c r="AZ6" i="1"/>
  <c r="BA6" i="1"/>
  <c r="AX7" i="1"/>
  <c r="AY7" i="1"/>
  <c r="AZ7" i="1"/>
  <c r="BA7" i="1"/>
  <c r="AX8" i="1"/>
  <c r="AY8" i="1"/>
  <c r="AZ8" i="1"/>
  <c r="BA8" i="1"/>
  <c r="AX9" i="1"/>
  <c r="AY9" i="1"/>
  <c r="AZ9" i="1"/>
  <c r="BA9" i="1"/>
  <c r="AX10" i="1"/>
  <c r="AY10" i="1"/>
  <c r="AZ10" i="1"/>
  <c r="BA10" i="1"/>
  <c r="AX11" i="1"/>
  <c r="AY11" i="1"/>
  <c r="AZ11" i="1"/>
  <c r="BA11" i="1"/>
  <c r="AX12" i="1"/>
  <c r="AY12" i="1"/>
  <c r="AZ12" i="1"/>
  <c r="BA12" i="1"/>
  <c r="AX13" i="1"/>
  <c r="AY13" i="1"/>
  <c r="AZ13" i="1"/>
  <c r="BA13" i="1"/>
  <c r="AX14" i="1"/>
  <c r="AY14" i="1"/>
  <c r="AZ14" i="1"/>
  <c r="BA14" i="1"/>
  <c r="AX15" i="1"/>
  <c r="AY15" i="1"/>
  <c r="AZ15" i="1"/>
  <c r="BA15" i="1"/>
  <c r="AX16" i="1"/>
  <c r="AY16" i="1"/>
  <c r="AZ16" i="1"/>
  <c r="BA16" i="1"/>
  <c r="AX17" i="1"/>
  <c r="AY17" i="1"/>
  <c r="AZ17" i="1"/>
  <c r="BA17" i="1"/>
  <c r="AX18" i="1"/>
  <c r="AY18" i="1"/>
  <c r="AZ18" i="1"/>
  <c r="BA18" i="1"/>
  <c r="AX19" i="1"/>
  <c r="AY19" i="1"/>
  <c r="AZ19" i="1"/>
  <c r="BA19" i="1"/>
  <c r="AX20" i="1"/>
  <c r="AY20" i="1"/>
  <c r="AZ20" i="1"/>
  <c r="BA20" i="1"/>
  <c r="AX21" i="1"/>
  <c r="AY21" i="1"/>
  <c r="AZ21" i="1"/>
  <c r="BA21" i="1"/>
  <c r="AX22" i="1"/>
  <c r="AY22" i="1"/>
  <c r="AZ22" i="1"/>
  <c r="BA22" i="1"/>
  <c r="AX23" i="1"/>
  <c r="AY23" i="1"/>
  <c r="AZ23" i="1"/>
  <c r="BA23" i="1"/>
  <c r="AX24" i="1"/>
  <c r="AY24" i="1"/>
  <c r="AZ24" i="1"/>
  <c r="BA24" i="1"/>
  <c r="AX25" i="1"/>
  <c r="AY25" i="1"/>
  <c r="AZ25" i="1"/>
  <c r="BA25" i="1"/>
  <c r="AX26" i="1"/>
  <c r="AY26" i="1"/>
  <c r="AZ26" i="1"/>
  <c r="BA26" i="1"/>
  <c r="AX27" i="1"/>
  <c r="AY27" i="1"/>
  <c r="AZ27" i="1"/>
  <c r="BA27" i="1"/>
  <c r="AX28" i="1"/>
  <c r="AY28" i="1"/>
  <c r="AZ28" i="1"/>
  <c r="BA28" i="1"/>
  <c r="AX29" i="1"/>
  <c r="AY29" i="1"/>
  <c r="AZ29" i="1"/>
  <c r="BA29" i="1"/>
  <c r="AX30" i="1"/>
  <c r="AY30" i="1"/>
  <c r="AZ30" i="1"/>
  <c r="BA30" i="1"/>
  <c r="AX31" i="1"/>
  <c r="AY31" i="1"/>
  <c r="AZ31" i="1"/>
  <c r="BA31" i="1"/>
  <c r="AX32" i="1"/>
  <c r="AY32" i="1"/>
  <c r="AZ32" i="1"/>
  <c r="BA32" i="1"/>
  <c r="AX33" i="1"/>
  <c r="AY33" i="1"/>
  <c r="AZ33" i="1"/>
  <c r="BA33" i="1"/>
  <c r="AX34" i="1"/>
  <c r="AY34" i="1"/>
  <c r="AZ34" i="1"/>
  <c r="BA34" i="1"/>
  <c r="AX35" i="1"/>
  <c r="AY35" i="1"/>
  <c r="AZ35" i="1"/>
  <c r="BA35" i="1"/>
  <c r="AX36" i="1"/>
  <c r="AY36" i="1"/>
  <c r="AZ36" i="1"/>
  <c r="BA36" i="1"/>
  <c r="AX37" i="1"/>
  <c r="AY37" i="1"/>
  <c r="AZ37" i="1"/>
  <c r="BA37" i="1"/>
  <c r="AX38" i="1"/>
  <c r="AY38" i="1"/>
  <c r="AZ38" i="1"/>
  <c r="BA38" i="1"/>
  <c r="AX39" i="1"/>
  <c r="AY39" i="1"/>
  <c r="AZ39" i="1"/>
  <c r="BA39" i="1"/>
  <c r="AX40" i="1"/>
  <c r="AY40" i="1"/>
  <c r="AZ40" i="1"/>
  <c r="BA40" i="1"/>
  <c r="AX41" i="1"/>
  <c r="AY41" i="1"/>
  <c r="AZ41" i="1"/>
  <c r="BA41" i="1"/>
  <c r="AX42" i="1"/>
  <c r="AY42" i="1"/>
  <c r="AZ42" i="1"/>
  <c r="BA42" i="1"/>
  <c r="AX43" i="1"/>
  <c r="AY43" i="1"/>
  <c r="AZ43" i="1"/>
  <c r="BA43" i="1"/>
  <c r="AX44" i="1"/>
  <c r="AY44" i="1"/>
  <c r="AZ44" i="1"/>
  <c r="BA44" i="1"/>
  <c r="AX45" i="1"/>
  <c r="AY45" i="1"/>
  <c r="AZ45" i="1"/>
  <c r="BA45" i="1"/>
  <c r="AX46" i="1"/>
  <c r="AY46" i="1"/>
  <c r="AZ46" i="1"/>
  <c r="BA46" i="1"/>
  <c r="AX47" i="1"/>
  <c r="AY47" i="1"/>
  <c r="AZ47" i="1"/>
  <c r="BA47" i="1"/>
  <c r="AX48" i="1"/>
  <c r="AY48" i="1"/>
  <c r="AZ48" i="1"/>
  <c r="BA48" i="1"/>
  <c r="AX49" i="1"/>
  <c r="AY49" i="1"/>
  <c r="AZ49" i="1"/>
  <c r="BA49" i="1"/>
  <c r="AX50" i="1"/>
  <c r="AY50" i="1"/>
  <c r="AZ50" i="1"/>
  <c r="BA50" i="1"/>
  <c r="AX51" i="1"/>
  <c r="AY51" i="1"/>
  <c r="AZ51" i="1"/>
  <c r="BA51" i="1"/>
  <c r="AX52" i="1"/>
  <c r="AY52" i="1"/>
  <c r="AZ52" i="1"/>
  <c r="BA52" i="1"/>
  <c r="AX53" i="1"/>
  <c r="AY53" i="1"/>
  <c r="AZ53" i="1"/>
  <c r="BA53" i="1"/>
  <c r="AX54" i="1"/>
  <c r="AY54" i="1"/>
  <c r="AZ54" i="1"/>
  <c r="BA54" i="1"/>
  <c r="AX55" i="1"/>
  <c r="AY55" i="1"/>
  <c r="AZ55" i="1"/>
  <c r="BA55" i="1"/>
  <c r="AX56" i="1"/>
  <c r="AY56" i="1"/>
  <c r="AZ56" i="1"/>
  <c r="BA56" i="1"/>
  <c r="AX57" i="1"/>
  <c r="AY57" i="1"/>
  <c r="AZ57" i="1"/>
  <c r="BA57" i="1"/>
  <c r="AX58" i="1"/>
  <c r="AY58" i="1"/>
  <c r="AZ58" i="1"/>
  <c r="BA58" i="1"/>
  <c r="AX59" i="1"/>
  <c r="AY59" i="1"/>
  <c r="AZ59" i="1"/>
  <c r="BA59" i="1"/>
  <c r="AX60" i="1"/>
  <c r="AY60" i="1"/>
  <c r="AZ60" i="1"/>
  <c r="BA60" i="1"/>
  <c r="AX61" i="1"/>
  <c r="AY61" i="1"/>
  <c r="AZ61" i="1"/>
  <c r="BA61" i="1"/>
  <c r="AX62" i="1"/>
  <c r="AY62" i="1"/>
  <c r="AZ62" i="1"/>
  <c r="BA62" i="1"/>
  <c r="AX63" i="1"/>
  <c r="AY63" i="1"/>
  <c r="AZ63" i="1"/>
  <c r="BA63" i="1"/>
  <c r="AX64" i="1"/>
  <c r="AY64" i="1"/>
  <c r="AZ64" i="1"/>
  <c r="BA64" i="1"/>
  <c r="AX65" i="1"/>
  <c r="AY65" i="1"/>
  <c r="AZ65" i="1"/>
  <c r="BA65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" i="1"/>
  <c r="BA5" i="1"/>
  <c r="AZ5" i="1"/>
  <c r="AY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Q10" i="1" a="1"/>
  <c r="Q10" i="1"/>
  <c r="Q7" i="1" a="1"/>
  <c r="Q7" i="1"/>
  <c r="Q6" i="1" a="1"/>
  <c r="Q6" i="1"/>
  <c r="Q5" i="1" a="1"/>
  <c r="Q5" i="1"/>
  <c r="P10" i="1" a="1"/>
  <c r="P10" i="1"/>
  <c r="P7" i="1" a="1"/>
  <c r="P7" i="1"/>
  <c r="P6" i="1" a="1"/>
  <c r="P6" i="1"/>
  <c r="P5" i="1" a="1"/>
  <c r="P5" i="1"/>
  <c r="O10" i="1" a="1"/>
  <c r="O10" i="1"/>
  <c r="O7" i="1" a="1"/>
  <c r="O7" i="1"/>
  <c r="O6" i="1" a="1"/>
  <c r="O6" i="1"/>
  <c r="O5" i="1" a="1"/>
  <c r="O5" i="1"/>
  <c r="M10" i="1" a="1"/>
  <c r="M10" i="1"/>
  <c r="M7" i="1" a="1"/>
  <c r="M7" i="1"/>
  <c r="M6" i="1" a="1"/>
  <c r="M6" i="1"/>
  <c r="AX5" i="1"/>
  <c r="BA70" i="1"/>
  <c r="AW70" i="1"/>
  <c r="AZ70" i="1"/>
  <c r="AY70" i="1"/>
  <c r="AX70" i="1"/>
  <c r="BA72" i="1"/>
  <c r="AZ72" i="1"/>
  <c r="AY72" i="1"/>
  <c r="AX72" i="1"/>
  <c r="AW72" i="1"/>
  <c r="BA71" i="1"/>
  <c r="AZ71" i="1"/>
  <c r="AY71" i="1"/>
  <c r="AX71" i="1"/>
  <c r="AW71" i="1"/>
  <c r="AL6" i="1"/>
  <c r="M18" i="14"/>
  <c r="N18" i="14"/>
  <c r="O18" i="14"/>
  <c r="P18" i="14"/>
  <c r="Q18" i="14"/>
  <c r="M17" i="14"/>
  <c r="N17" i="14"/>
  <c r="O17" i="14"/>
  <c r="P17" i="14"/>
  <c r="Q17" i="14"/>
  <c r="M16" i="14"/>
  <c r="N16" i="14"/>
  <c r="O16" i="14"/>
  <c r="P16" i="14"/>
  <c r="Q16" i="14"/>
  <c r="I10" i="14"/>
  <c r="F10" i="14"/>
  <c r="C10" i="14"/>
  <c r="I6" i="1"/>
  <c r="I10" i="1"/>
  <c r="I14" i="1"/>
  <c r="I18" i="1"/>
  <c r="I22" i="1"/>
  <c r="I26" i="1"/>
  <c r="I30" i="1"/>
  <c r="I34" i="1"/>
  <c r="I38" i="1"/>
  <c r="I42" i="1"/>
  <c r="I46" i="1"/>
  <c r="I50" i="1"/>
  <c r="I54" i="1"/>
  <c r="I58" i="1"/>
  <c r="I62" i="1"/>
  <c r="I66" i="1"/>
  <c r="I9" i="1"/>
  <c r="I17" i="1"/>
  <c r="I25" i="1"/>
  <c r="I33" i="1"/>
  <c r="I41" i="1"/>
  <c r="I49" i="1"/>
  <c r="I57" i="1"/>
  <c r="I65" i="1"/>
  <c r="I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I13" i="1"/>
  <c r="I21" i="1"/>
  <c r="I29" i="1"/>
  <c r="I37" i="1"/>
  <c r="I45" i="1"/>
  <c r="I53" i="1"/>
  <c r="I61" i="1"/>
  <c r="I69" i="1"/>
  <c r="I8" i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G6" i="1"/>
  <c r="G10" i="1"/>
  <c r="G14" i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" i="1"/>
  <c r="G11" i="1"/>
  <c r="G15" i="1"/>
  <c r="G19" i="1"/>
  <c r="G23" i="1"/>
  <c r="G27" i="1"/>
  <c r="G31" i="1"/>
  <c r="G35" i="1"/>
  <c r="G39" i="1"/>
  <c r="G43" i="1"/>
  <c r="G47" i="1"/>
  <c r="G51" i="1"/>
  <c r="G55" i="1"/>
  <c r="G59" i="1"/>
  <c r="G63" i="1"/>
  <c r="G67" i="1"/>
  <c r="G8" i="1"/>
  <c r="G12" i="1"/>
  <c r="G16" i="1"/>
  <c r="G20" i="1"/>
  <c r="G24" i="1"/>
  <c r="G28" i="1"/>
  <c r="G32" i="1"/>
  <c r="G36" i="1"/>
  <c r="G40" i="1"/>
  <c r="G44" i="1"/>
  <c r="G48" i="1"/>
  <c r="G52" i="1"/>
  <c r="G56" i="1"/>
  <c r="G60" i="1"/>
  <c r="G64" i="1"/>
  <c r="G68" i="1"/>
  <c r="G9" i="1"/>
  <c r="G25" i="1"/>
  <c r="G41" i="1"/>
  <c r="G57" i="1"/>
  <c r="G29" i="1"/>
  <c r="G61" i="1"/>
  <c r="G13" i="1"/>
  <c r="G45" i="1"/>
  <c r="G17" i="1"/>
  <c r="G33" i="1"/>
  <c r="G49" i="1"/>
  <c r="G65" i="1"/>
  <c r="G5" i="1"/>
  <c r="AP6" i="1"/>
  <c r="G21" i="1"/>
  <c r="G37" i="1"/>
  <c r="G53" i="1"/>
  <c r="G69" i="1"/>
  <c r="H8" i="1"/>
  <c r="H12" i="1"/>
  <c r="H16" i="1"/>
  <c r="H20" i="1"/>
  <c r="H24" i="1"/>
  <c r="H28" i="1"/>
  <c r="H32" i="1"/>
  <c r="H36" i="1"/>
  <c r="H40" i="1"/>
  <c r="H44" i="1"/>
  <c r="H48" i="1"/>
  <c r="H52" i="1"/>
  <c r="H56" i="1"/>
  <c r="H60" i="1"/>
  <c r="H64" i="1"/>
  <c r="H68" i="1"/>
  <c r="H7" i="1"/>
  <c r="H15" i="1"/>
  <c r="H23" i="1"/>
  <c r="H31" i="1"/>
  <c r="H43" i="1"/>
  <c r="H51" i="1"/>
  <c r="H59" i="1"/>
  <c r="H67" i="1"/>
  <c r="H5" i="1"/>
  <c r="H9" i="1"/>
  <c r="H13" i="1"/>
  <c r="H17" i="1"/>
  <c r="H21" i="1"/>
  <c r="H25" i="1"/>
  <c r="H29" i="1"/>
  <c r="H33" i="1"/>
  <c r="H37" i="1"/>
  <c r="H41" i="1"/>
  <c r="H45" i="1"/>
  <c r="H49" i="1"/>
  <c r="H53" i="1"/>
  <c r="H57" i="1"/>
  <c r="H61" i="1"/>
  <c r="H65" i="1"/>
  <c r="H69" i="1"/>
  <c r="H11" i="1"/>
  <c r="H19" i="1"/>
  <c r="H27" i="1"/>
  <c r="H35" i="1"/>
  <c r="H47" i="1"/>
  <c r="H55" i="1"/>
  <c r="H63" i="1"/>
  <c r="H6" i="1"/>
  <c r="H10" i="1"/>
  <c r="H14" i="1"/>
  <c r="H18" i="1"/>
  <c r="H22" i="1"/>
  <c r="H26" i="1"/>
  <c r="H30" i="1"/>
  <c r="H34" i="1"/>
  <c r="H38" i="1"/>
  <c r="H42" i="1"/>
  <c r="H46" i="1"/>
  <c r="H50" i="1"/>
  <c r="H54" i="1"/>
  <c r="H58" i="1"/>
  <c r="H62" i="1"/>
  <c r="H66" i="1"/>
  <c r="H39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BC58" i="1"/>
  <c r="BB49" i="1"/>
  <c r="BB21" i="1"/>
  <c r="BD48" i="1"/>
  <c r="BD32" i="1"/>
  <c r="BD16" i="1"/>
  <c r="BB25" i="1"/>
  <c r="BC42" i="1"/>
  <c r="BC26" i="1"/>
  <c r="BC10" i="1"/>
  <c r="BB32" i="1"/>
  <c r="BB51" i="1"/>
  <c r="BC59" i="1"/>
  <c r="BD64" i="1"/>
  <c r="BB64" i="1"/>
  <c r="AE27" i="1"/>
  <c r="AE26" i="1"/>
  <c r="AD26" i="1"/>
  <c r="AD27" i="1"/>
  <c r="BD49" i="1"/>
  <c r="BD17" i="1"/>
  <c r="BD50" i="1"/>
  <c r="BD18" i="1"/>
  <c r="BC25" i="1"/>
  <c r="BC23" i="1"/>
  <c r="BC20" i="1"/>
  <c r="BB45" i="1"/>
  <c r="BB35" i="1"/>
  <c r="BB26" i="1"/>
  <c r="BD63" i="1"/>
  <c r="BD31" i="1"/>
  <c r="BD34" i="1"/>
  <c r="BC54" i="1"/>
  <c r="BC38" i="1"/>
  <c r="BC22" i="1"/>
  <c r="BC6" i="1"/>
  <c r="BC63" i="1"/>
  <c r="BC27" i="1"/>
  <c r="BC53" i="1"/>
  <c r="BC37" i="1"/>
  <c r="BC21" i="1"/>
  <c r="BC51" i="1"/>
  <c r="BC15" i="1"/>
  <c r="BC64" i="1"/>
  <c r="BC48" i="1"/>
  <c r="BC32" i="1"/>
  <c r="BC16" i="1"/>
  <c r="BB33" i="1"/>
  <c r="BB13" i="1"/>
  <c r="BB9" i="1"/>
  <c r="BB60" i="1"/>
  <c r="BB44" i="1"/>
  <c r="BB28" i="1"/>
  <c r="BB12" i="1"/>
  <c r="BB63" i="1"/>
  <c r="BB47" i="1"/>
  <c r="BB31" i="1"/>
  <c r="BB15" i="1"/>
  <c r="BB54" i="1"/>
  <c r="BB38" i="1"/>
  <c r="BB22" i="1"/>
  <c r="BB6" i="1"/>
  <c r="BD60" i="1"/>
  <c r="BD44" i="1"/>
  <c r="BD28" i="1"/>
  <c r="BD12" i="1"/>
  <c r="BD37" i="1"/>
  <c r="BD59" i="1"/>
  <c r="BD43" i="1"/>
  <c r="BD27" i="1"/>
  <c r="BD11" i="1"/>
  <c r="BD41" i="1"/>
  <c r="BD9" i="1"/>
  <c r="BD62" i="1"/>
  <c r="BD46" i="1"/>
  <c r="BD30" i="1"/>
  <c r="BD14" i="1"/>
  <c r="BC35" i="1"/>
  <c r="BC57" i="1"/>
  <c r="BC52" i="1"/>
  <c r="BB48" i="1"/>
  <c r="BB58" i="1"/>
  <c r="BB10" i="1"/>
  <c r="BD13" i="1"/>
  <c r="BD47" i="1"/>
  <c r="BC34" i="1"/>
  <c r="BC55" i="1"/>
  <c r="BC19" i="1"/>
  <c r="BC65" i="1"/>
  <c r="BC49" i="1"/>
  <c r="BC33" i="1"/>
  <c r="BC17" i="1"/>
  <c r="BC43" i="1"/>
  <c r="BC7" i="1"/>
  <c r="BC60" i="1"/>
  <c r="BC44" i="1"/>
  <c r="BC28" i="1"/>
  <c r="BC12" i="1"/>
  <c r="BB53" i="1"/>
  <c r="BB17" i="1"/>
  <c r="BB61" i="1"/>
  <c r="BB57" i="1"/>
  <c r="BB56" i="1"/>
  <c r="BB40" i="1"/>
  <c r="BB24" i="1"/>
  <c r="BB8" i="1"/>
  <c r="BB59" i="1"/>
  <c r="BB43" i="1"/>
  <c r="BB27" i="1"/>
  <c r="BB11" i="1"/>
  <c r="BB50" i="1"/>
  <c r="BB34" i="1"/>
  <c r="BB18" i="1"/>
  <c r="BD56" i="1"/>
  <c r="BD40" i="1"/>
  <c r="BD24" i="1"/>
  <c r="BD8" i="1"/>
  <c r="BD61" i="1"/>
  <c r="BD29" i="1"/>
  <c r="BD55" i="1"/>
  <c r="BD39" i="1"/>
  <c r="BD23" i="1"/>
  <c r="BD7" i="1"/>
  <c r="BD65" i="1"/>
  <c r="BD33" i="1"/>
  <c r="BD58" i="1"/>
  <c r="BD42" i="1"/>
  <c r="BD26" i="1"/>
  <c r="BD10" i="1"/>
  <c r="BC41" i="1"/>
  <c r="BC9" i="1"/>
  <c r="BC36" i="1"/>
  <c r="BB16" i="1"/>
  <c r="BB19" i="1"/>
  <c r="BB42" i="1"/>
  <c r="BD45" i="1"/>
  <c r="BD15" i="1"/>
  <c r="BC50" i="1"/>
  <c r="BC18" i="1"/>
  <c r="BC39" i="1"/>
  <c r="BC62" i="1"/>
  <c r="BC46" i="1"/>
  <c r="BC30" i="1"/>
  <c r="BC14" i="1"/>
  <c r="BC47" i="1"/>
  <c r="BC11" i="1"/>
  <c r="BC61" i="1"/>
  <c r="BC45" i="1"/>
  <c r="BC29" i="1"/>
  <c r="BC13" i="1"/>
  <c r="BC31" i="1"/>
  <c r="BC56" i="1"/>
  <c r="BC40" i="1"/>
  <c r="BC24" i="1"/>
  <c r="BC8" i="1"/>
  <c r="BB37" i="1"/>
  <c r="BB65" i="1"/>
  <c r="BB29" i="1"/>
  <c r="BB41" i="1"/>
  <c r="BB52" i="1"/>
  <c r="BB36" i="1"/>
  <c r="BB20" i="1"/>
  <c r="BB55" i="1"/>
  <c r="BB39" i="1"/>
  <c r="BB23" i="1"/>
  <c r="BB7" i="1"/>
  <c r="BB62" i="1"/>
  <c r="BB46" i="1"/>
  <c r="BB30" i="1"/>
  <c r="BB14" i="1"/>
  <c r="BD52" i="1"/>
  <c r="BD36" i="1"/>
  <c r="BD20" i="1"/>
  <c r="BD53" i="1"/>
  <c r="BD21" i="1"/>
  <c r="BD51" i="1"/>
  <c r="BD35" i="1"/>
  <c r="BD19" i="1"/>
  <c r="BD57" i="1"/>
  <c r="BD25" i="1"/>
  <c r="BD54" i="1"/>
  <c r="BD38" i="1"/>
  <c r="BD22" i="1"/>
  <c r="BD6" i="1"/>
  <c r="R7" i="1"/>
  <c r="AE6" i="1"/>
  <c r="R5" i="14"/>
  <c r="R8" i="1"/>
  <c r="S8" i="1"/>
  <c r="T8" i="1"/>
  <c r="R9" i="1"/>
  <c r="S9" i="1"/>
  <c r="R10" i="1"/>
  <c r="S10" i="1"/>
  <c r="T7" i="1"/>
  <c r="T6" i="1"/>
  <c r="S7" i="1"/>
  <c r="S6" i="1"/>
  <c r="S5" i="1"/>
  <c r="R6" i="1"/>
  <c r="AD6" i="1"/>
  <c r="Q5" i="14"/>
  <c r="AD11" i="1"/>
  <c r="Q10" i="14"/>
  <c r="T9" i="1"/>
  <c r="T10" i="1"/>
  <c r="AD10" i="1"/>
  <c r="Q9" i="14"/>
  <c r="BO5" i="1"/>
  <c r="AE11" i="1"/>
  <c r="R10" i="14"/>
  <c r="AE10" i="1"/>
  <c r="R9" i="14"/>
  <c r="AD8" i="1"/>
  <c r="Q7" i="14"/>
  <c r="AE8" i="1"/>
  <c r="R7" i="14"/>
  <c r="BO34" i="1"/>
  <c r="BP34" i="1"/>
  <c r="BN35" i="1"/>
  <c r="BO35" i="1"/>
  <c r="BP35" i="1"/>
  <c r="BN36" i="1"/>
  <c r="BO36" i="1"/>
  <c r="BP36" i="1"/>
  <c r="BN37" i="1"/>
  <c r="BO37" i="1"/>
  <c r="BP37" i="1"/>
  <c r="BN38" i="1"/>
  <c r="BO38" i="1"/>
  <c r="BP38" i="1"/>
  <c r="BN39" i="1"/>
  <c r="BO39" i="1"/>
  <c r="BP39" i="1"/>
  <c r="BN40" i="1"/>
  <c r="BO40" i="1"/>
  <c r="BP40" i="1"/>
  <c r="BN41" i="1"/>
  <c r="BO41" i="1"/>
  <c r="BP41" i="1"/>
  <c r="BN42" i="1"/>
  <c r="BO42" i="1"/>
  <c r="BP42" i="1"/>
  <c r="BN43" i="1"/>
  <c r="BO43" i="1"/>
  <c r="BP43" i="1"/>
  <c r="BN44" i="1"/>
  <c r="BO44" i="1"/>
  <c r="BP44" i="1"/>
  <c r="BN45" i="1"/>
  <c r="BO45" i="1"/>
  <c r="BP45" i="1"/>
  <c r="BN46" i="1"/>
  <c r="BO46" i="1"/>
  <c r="BP46" i="1"/>
  <c r="BN47" i="1"/>
  <c r="BO47" i="1"/>
  <c r="BP47" i="1"/>
  <c r="BN48" i="1"/>
  <c r="BO48" i="1"/>
  <c r="BP48" i="1"/>
  <c r="BN49" i="1"/>
  <c r="BO49" i="1"/>
  <c r="BP49" i="1"/>
  <c r="BN50" i="1"/>
  <c r="BO50" i="1"/>
  <c r="BP50" i="1"/>
  <c r="BN51" i="1"/>
  <c r="BO51" i="1"/>
  <c r="BP51" i="1"/>
  <c r="BN52" i="1"/>
  <c r="BO52" i="1"/>
  <c r="BP52" i="1"/>
  <c r="BN53" i="1"/>
  <c r="BO53" i="1"/>
  <c r="BP53" i="1"/>
  <c r="BN54" i="1"/>
  <c r="BO54" i="1"/>
  <c r="BP54" i="1"/>
  <c r="BN55" i="1"/>
  <c r="BO55" i="1"/>
  <c r="BP55" i="1"/>
  <c r="BN56" i="1"/>
  <c r="BO56" i="1"/>
  <c r="BP56" i="1"/>
  <c r="BN57" i="1"/>
  <c r="BO57" i="1"/>
  <c r="BP57" i="1"/>
  <c r="BN58" i="1"/>
  <c r="BO58" i="1"/>
  <c r="BP58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5" i="1"/>
  <c r="BN14" i="1"/>
  <c r="BN13" i="1"/>
  <c r="BN12" i="1"/>
  <c r="BN11" i="1"/>
  <c r="BN10" i="1"/>
  <c r="BN9" i="1"/>
  <c r="BN8" i="1"/>
  <c r="BN7" i="1"/>
  <c r="BN6" i="1"/>
  <c r="BN5" i="1"/>
  <c r="AK84" i="1"/>
  <c r="AK83" i="1"/>
  <c r="AK82" i="1"/>
  <c r="AL84" i="1"/>
  <c r="AL83" i="1"/>
  <c r="AL82" i="1"/>
  <c r="AM84" i="1"/>
  <c r="AM83" i="1"/>
  <c r="AM82" i="1"/>
  <c r="AN84" i="1"/>
  <c r="AN83" i="1"/>
  <c r="AN82" i="1"/>
  <c r="AO84" i="1"/>
  <c r="AO83" i="1"/>
  <c r="AO82" i="1"/>
  <c r="AQ6" i="1"/>
  <c r="BC5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BB5" i="1"/>
  <c r="R5" i="1"/>
  <c r="AE5" i="1"/>
  <c r="AD5" i="1"/>
  <c r="AD7" i="1"/>
  <c r="Q6" i="14"/>
  <c r="Q4" i="14"/>
  <c r="AE7" i="1"/>
  <c r="R6" i="14"/>
  <c r="R4" i="14"/>
  <c r="BO71" i="1"/>
  <c r="BO70" i="1"/>
  <c r="BO72" i="1"/>
  <c r="BN72" i="1"/>
  <c r="BN70" i="1"/>
  <c r="BN71" i="1"/>
  <c r="BB70" i="1"/>
  <c r="BB71" i="1"/>
  <c r="BB72" i="1"/>
  <c r="BC70" i="1"/>
  <c r="BC71" i="1"/>
  <c r="BC72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P84" i="1"/>
  <c r="AP83" i="1"/>
  <c r="AP82" i="1"/>
  <c r="AQ82" i="1"/>
  <c r="AQ84" i="1"/>
  <c r="AQ83" i="1"/>
  <c r="N5" i="1"/>
  <c r="N6" i="1"/>
  <c r="N7" i="1"/>
  <c r="N10" i="1"/>
  <c r="Y5" i="1"/>
  <c r="Z5" i="1"/>
  <c r="AA5" i="1"/>
  <c r="AB5" i="1"/>
  <c r="AC5" i="1"/>
  <c r="Y6" i="1"/>
  <c r="L5" i="14"/>
  <c r="Z6" i="1"/>
  <c r="M5" i="14"/>
  <c r="AA6" i="1"/>
  <c r="N5" i="14"/>
  <c r="AB6" i="1"/>
  <c r="O5" i="14"/>
  <c r="AC6" i="1"/>
  <c r="P5" i="14"/>
  <c r="Y8" i="1"/>
  <c r="L7" i="14"/>
  <c r="Z8" i="1"/>
  <c r="M7" i="14"/>
  <c r="AA8" i="1"/>
  <c r="N7" i="14"/>
  <c r="AB8" i="1"/>
  <c r="O7" i="14"/>
  <c r="AC8" i="1"/>
  <c r="P7" i="14"/>
  <c r="Y10" i="1"/>
  <c r="L9" i="14"/>
  <c r="Z10" i="1"/>
  <c r="M9" i="14"/>
  <c r="AA10" i="1"/>
  <c r="N9" i="14"/>
  <c r="AB10" i="1"/>
  <c r="O9" i="14"/>
  <c r="AC10" i="1"/>
  <c r="P9" i="14"/>
  <c r="Y11" i="1"/>
  <c r="L10" i="14"/>
  <c r="Z11" i="1"/>
  <c r="M10" i="14"/>
  <c r="AA11" i="1"/>
  <c r="N10" i="14"/>
  <c r="AB11" i="1"/>
  <c r="O10" i="14"/>
  <c r="AC11" i="1"/>
  <c r="P10" i="14"/>
  <c r="Z7" i="1"/>
  <c r="M6" i="14"/>
  <c r="M4" i="14"/>
  <c r="Y7" i="1"/>
  <c r="L6" i="14"/>
  <c r="L4" i="14"/>
  <c r="P6" i="14"/>
  <c r="P4" i="14"/>
  <c r="AB7" i="1"/>
  <c r="O6" i="14"/>
  <c r="O4" i="14"/>
  <c r="AA7" i="1"/>
  <c r="N6" i="14"/>
  <c r="N4" i="14"/>
  <c r="AD9" i="1"/>
  <c r="Q8" i="14"/>
  <c r="BI72" i="1"/>
  <c r="BI70" i="1"/>
  <c r="BI71" i="1"/>
  <c r="BJ72" i="1"/>
  <c r="BJ70" i="1"/>
  <c r="BJ71" i="1"/>
  <c r="BK72" i="1"/>
  <c r="BK70" i="1"/>
  <c r="BK71" i="1"/>
  <c r="BL72" i="1"/>
  <c r="BL70" i="1"/>
  <c r="BL71" i="1"/>
  <c r="BM72" i="1"/>
  <c r="BM70" i="1"/>
  <c r="BM71" i="1"/>
  <c r="AA9" i="1"/>
  <c r="N8" i="14"/>
  <c r="AB9" i="1"/>
  <c r="O8" i="14"/>
  <c r="AE9" i="1"/>
  <c r="R8" i="14"/>
  <c r="AC9" i="1"/>
  <c r="P8" i="14"/>
  <c r="Y9" i="1"/>
  <c r="L8" i="14"/>
  <c r="Z9" i="1"/>
  <c r="M8" i="14"/>
  <c r="AR6" i="1" l="1"/>
  <c r="BP5" i="1"/>
  <c r="BD5" i="1"/>
  <c r="T5" i="1"/>
  <c r="AF6" i="1"/>
  <c r="S5" i="14" s="1"/>
  <c r="AF5" i="1"/>
  <c r="AF27" i="1"/>
  <c r="AF26" i="1"/>
  <c r="AF11" i="1"/>
  <c r="S10" i="14" s="1"/>
  <c r="AF10" i="1"/>
  <c r="S9" i="14" s="1"/>
  <c r="BD71" i="1" l="1"/>
  <c r="BD70" i="1"/>
  <c r="BD72" i="1"/>
  <c r="S4" i="14"/>
  <c r="AF7" i="1"/>
  <c r="BP72" i="1"/>
  <c r="BP71" i="1"/>
  <c r="BP70" i="1"/>
  <c r="AR7" i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84" i="1" l="1"/>
  <c r="AR82" i="1"/>
  <c r="AR83" i="1"/>
  <c r="S6" i="14"/>
  <c r="AF9" i="1"/>
  <c r="S8" i="14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<sst xmlns="http://schemas.openxmlformats.org/spreadsheetml/2006/main" count="124" uniqueCount="37">
  <si>
    <t>Mês</t>
  </si>
  <si>
    <t>DÓLAR</t>
  </si>
  <si>
    <t>Total</t>
  </si>
  <si>
    <t>Risco</t>
  </si>
  <si>
    <t>Max</t>
  </si>
  <si>
    <t>Min</t>
  </si>
  <si>
    <t>Sharpe</t>
  </si>
  <si>
    <t>Retorno Médio</t>
  </si>
  <si>
    <t>Retorno Composto</t>
  </si>
  <si>
    <t>Ano</t>
  </si>
  <si>
    <t>Indicadores</t>
  </si>
  <si>
    <t>Conservadora</t>
  </si>
  <si>
    <t>Moderada</t>
  </si>
  <si>
    <t>Agressiva</t>
  </si>
  <si>
    <t>Med</t>
  </si>
  <si>
    <t>Conservador</t>
  </si>
  <si>
    <t>Moderado</t>
  </si>
  <si>
    <t>Agressivo</t>
  </si>
  <si>
    <t>C</t>
  </si>
  <si>
    <t>M</t>
  </si>
  <si>
    <t>A</t>
  </si>
  <si>
    <t>Retorno Total</t>
  </si>
  <si>
    <t>Retorno Máximo</t>
  </si>
  <si>
    <t>Retorno Mínimo</t>
  </si>
  <si>
    <t>Retorno Ano-a-Ano</t>
  </si>
  <si>
    <t>Estatísticas</t>
  </si>
  <si>
    <t>Dados em Evolução de 100</t>
  </si>
  <si>
    <t>Retorno em 12 meses corridos</t>
  </si>
  <si>
    <t>Risco em 12 meses corridos</t>
  </si>
  <si>
    <t>IVVB11</t>
  </si>
  <si>
    <t>CDI</t>
  </si>
  <si>
    <t>Dados</t>
  </si>
  <si>
    <t>BOVA11</t>
  </si>
  <si>
    <t>SMAL11</t>
  </si>
  <si>
    <t>x</t>
  </si>
  <si>
    <t>y</t>
  </si>
  <si>
    <t>Edite os campos amarelos com o percentual do investimento na carteira: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</si>
</sst>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%"/>
    <numFmt numFmtId="165" formatCode="yy"/>
  </numFmts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8"/>
      <name val="Calibri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D1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4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12" fillId="4" borderId="0" xfId="0" applyFont="1" applyFill="1" applyBorder="1"/>
    <xf numFmtId="164" fontId="12" fillId="4" borderId="0" xfId="0" applyNumberFormat="1" applyFont="1" applyFill="1" applyBorder="1"/>
    <xf numFmtId="0" fontId="13" fillId="4" borderId="0" xfId="0" applyFont="1" applyFill="1" applyBorder="1"/>
    <xf numFmtId="0" fontId="14" fillId="4" borderId="0" xfId="0" applyFont="1" applyFill="1" applyBorder="1"/>
    <xf numFmtId="0" fontId="15" fillId="4" borderId="0" xfId="0" applyFont="1" applyFill="1" applyBorder="1" applyAlignment="1">
      <alignment horizontal="center"/>
    </xf>
    <xf numFmtId="164" fontId="14" fillId="4" borderId="0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4" fillId="4" borderId="0" xfId="0" applyFont="1" applyFill="1" applyBorder="1" applyAlignment="1">
      <alignment horizontal="center"/>
    </xf>
    <xf numFmtId="164" fontId="14" fillId="4" borderId="0" xfId="0" applyNumberFormat="1" applyFont="1" applyFill="1" applyBorder="1" applyAlignment="1">
      <alignment horizontal="center"/>
    </xf>
    <xf numFmtId="0" fontId="12" fillId="4" borderId="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left"/>
    </xf>
    <xf numFmtId="164" fontId="12" fillId="5" borderId="0" xfId="0" applyNumberFormat="1" applyFont="1" applyFill="1" applyBorder="1" applyAlignment="1">
      <alignment horizontal="right"/>
    </xf>
    <xf numFmtId="0" fontId="12" fillId="5" borderId="0" xfId="0" applyFont="1" applyFill="1" applyBorder="1" applyAlignment="1">
      <alignment horizontal="left"/>
    </xf>
    <xf numFmtId="164" fontId="12" fillId="6" borderId="0" xfId="0" applyNumberFormat="1" applyFont="1" applyFill="1" applyBorder="1"/>
    <xf numFmtId="0" fontId="11" fillId="6" borderId="0" xfId="0" applyFont="1" applyFill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164" fontId="12" fillId="2" borderId="0" xfId="0" applyNumberFormat="1" applyFont="1" applyFill="1" applyBorder="1"/>
    <xf numFmtId="0" fontId="11" fillId="2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0" fontId="16" fillId="4" borderId="0" xfId="0" applyFont="1" applyFill="1" applyBorder="1"/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center"/>
    </xf>
    <xf numFmtId="14" fontId="7" fillId="4" borderId="0" xfId="0" applyNumberFormat="1" applyFont="1" applyFill="1" applyBorder="1" applyAlignment="1">
      <alignment horizontal="center"/>
    </xf>
    <xf numFmtId="14" fontId="7" fillId="4" borderId="0" xfId="4" applyNumberFormat="1" applyFont="1" applyFill="1" applyBorder="1" applyAlignment="1">
      <alignment horizontal="center"/>
    </xf>
    <xf numFmtId="10" fontId="14" fillId="4" borderId="0" xfId="0" applyNumberFormat="1" applyFont="1" applyFill="1" applyBorder="1"/>
    <xf numFmtId="0" fontId="16" fillId="7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164" fontId="12" fillId="3" borderId="2" xfId="0" applyNumberFormat="1" applyFont="1" applyFill="1" applyBorder="1"/>
    <xf numFmtId="164" fontId="12" fillId="3" borderId="2" xfId="0" applyNumberFormat="1" applyFont="1" applyFill="1" applyBorder="1" applyAlignment="1">
      <alignment horizontal="right"/>
    </xf>
    <xf numFmtId="0" fontId="11" fillId="4" borderId="0" xfId="0" applyFont="1" applyFill="1" applyBorder="1" applyAlignment="1">
      <alignment horizontal="left" vertical="top"/>
    </xf>
    <xf numFmtId="10" fontId="9" fillId="4" borderId="0" xfId="1" applyNumberFormat="1" applyFont="1" applyFill="1" applyBorder="1" applyAlignment="1">
      <alignment horizontal="center"/>
    </xf>
    <xf numFmtId="165" fontId="10" fillId="4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2" fontId="9" fillId="4" borderId="0" xfId="1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10" fontId="10" fillId="4" borderId="0" xfId="1" applyNumberFormat="1" applyFont="1" applyFill="1" applyBorder="1" applyAlignment="1">
      <alignment horizontal="center"/>
    </xf>
    <xf numFmtId="9" fontId="10" fillId="4" borderId="0" xfId="1" applyNumberFormat="1" applyFont="1" applyFill="1" applyBorder="1" applyAlignment="1">
      <alignment horizontal="center"/>
    </xf>
    <xf numFmtId="10" fontId="9" fillId="4" borderId="0" xfId="0" applyNumberFormat="1" applyFont="1" applyFill="1" applyBorder="1" applyAlignment="1">
      <alignment horizontal="center"/>
    </xf>
    <xf numFmtId="10" fontId="6" fillId="4" borderId="0" xfId="0" applyNumberFormat="1" applyFont="1" applyFill="1" applyBorder="1" applyAlignment="1">
      <alignment horizontal="center"/>
    </xf>
    <xf numFmtId="9" fontId="3" fillId="4" borderId="0" xfId="1" applyFont="1" applyFill="1" applyBorder="1" applyAlignment="1">
      <alignment horizontal="center"/>
    </xf>
    <xf numFmtId="10" fontId="3" fillId="5" borderId="0" xfId="1" applyNumberFormat="1" applyFont="1" applyFill="1" applyBorder="1" applyAlignment="1">
      <alignment horizontal="center"/>
    </xf>
    <xf numFmtId="10" fontId="3" fillId="6" borderId="0" xfId="1" applyNumberFormat="1" applyFont="1" applyFill="1" applyBorder="1" applyAlignment="1">
      <alignment horizontal="center"/>
    </xf>
    <xf numFmtId="10" fontId="3" fillId="2" borderId="0" xfId="1" applyNumberFormat="1" applyFont="1" applyFill="1" applyBorder="1" applyAlignment="1">
      <alignment horizontal="center"/>
    </xf>
    <xf numFmtId="2" fontId="3" fillId="4" borderId="0" xfId="0" applyNumberFormat="1" applyFont="1" applyFill="1" applyBorder="1" applyAlignment="1">
      <alignment horizontal="center"/>
    </xf>
    <xf numFmtId="10" fontId="3" fillId="5" borderId="0" xfId="0" applyNumberFormat="1" applyFont="1" applyFill="1" applyBorder="1" applyAlignment="1">
      <alignment horizontal="center"/>
    </xf>
    <xf numFmtId="10" fontId="3" fillId="6" borderId="0" xfId="0" applyNumberFormat="1" applyFont="1" applyFill="1" applyBorder="1" applyAlignment="1">
      <alignment horizontal="center"/>
    </xf>
    <xf numFmtId="10" fontId="3" fillId="2" borderId="0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19" fillId="4" borderId="0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11" fillId="7" borderId="0" xfId="0" applyFont="1" applyFill="1" applyBorder="1" applyAlignment="1">
      <alignment horizontal="center"/>
    </xf>
  </cellXfs>
  <cellStyles count="5">
    <cellStyle name="Normal" xfId="0" builtinId="0"/>
    <cellStyle name="Normal 2" xfId="3"/>
    <cellStyle name="Percent 2" xfId="2"/>
    <cellStyle name="Porcentagem" xfId="1" builtinId="5"/>
    <cellStyle name="Vírgula" xfId="4" builtinId="3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499984740745262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149998474074526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AFAFA"/>
      <color rgb="FFFF0000"/>
      <color rgb="FFFFD1D1"/>
      <color rgb="FFFFF1E5"/>
      <color rgb="FFE6F7D9"/>
      <color rgb="FFFFEBEB"/>
      <color rgb="FFEBFAFF"/>
      <color rgb="FFD1F3FF"/>
      <color rgb="FF00B0F0"/>
      <color rgb="FF43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da Carteira: Base 100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Dados!$AP$4</c:f>
              <c:strCache>
                <c:ptCount val="1"/>
                <c:pt idx="0">
                  <c:v>Conservadora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Dados!$AP$5:$AP$76</c:f>
              <c:numCache>
                <c:formatCode>0.00</c:formatCode>
                <c:ptCount val="72"/>
                <c:pt idx="0">
                  <c:v>100</c:v>
                </c:pt>
                <c:pt idx="1">
                  <c:v>100.32399999999998</c:v>
                </c:pt>
                <c:pt idx="2">
                  <c:v>101.56550949999999</c:v>
                </c:pt>
                <c:pt idx="3">
                  <c:v>103.11489134742249</c:v>
                </c:pt>
                <c:pt idx="4">
                  <c:v>104.25327974789802</c:v>
                </c:pt>
                <c:pt idx="5">
                  <c:v>105.08782725227995</c:v>
                </c:pt>
                <c:pt idx="6">
                  <c:v>105.9243263572081</c:v>
                </c:pt>
                <c:pt idx="7">
                  <c:v>107.89292996255682</c:v>
                </c:pt>
                <c:pt idx="8">
                  <c:v>108.98049069657941</c:v>
                </c:pt>
                <c:pt idx="9">
                  <c:v>110.14004311759101</c:v>
                </c:pt>
                <c:pt idx="10">
                  <c:v>111.67814881972816</c:v>
                </c:pt>
                <c:pt idx="11">
                  <c:v>113.02666246672639</c:v>
                </c:pt>
                <c:pt idx="12">
                  <c:v>113.81671883736881</c:v>
                </c:pt>
                <c:pt idx="13">
                  <c:v>115.20869730874983</c:v>
                </c:pt>
                <c:pt idx="14">
                  <c:v>116.45698354409014</c:v>
                </c:pt>
                <c:pt idx="15">
                  <c:v>117.40610795997448</c:v>
                </c:pt>
                <c:pt idx="16">
                  <c:v>118.46334996215404</c:v>
                </c:pt>
                <c:pt idx="17">
                  <c:v>119.39328725935694</c:v>
                </c:pt>
                <c:pt idx="18">
                  <c:v>120.48633280421636</c:v>
                </c:pt>
                <c:pt idx="19">
                  <c:v>121.38937786858396</c:v>
                </c:pt>
                <c:pt idx="20">
                  <c:v>122.77018204183909</c:v>
                </c:pt>
                <c:pt idx="21">
                  <c:v>123.91992479666092</c:v>
                </c:pt>
                <c:pt idx="22">
                  <c:v>124.99245174577604</c:v>
                </c:pt>
                <c:pt idx="23">
                  <c:v>125.60054002351923</c:v>
                </c:pt>
                <c:pt idx="24">
                  <c:v>126.85654542375443</c:v>
                </c:pt>
                <c:pt idx="25">
                  <c:v>128.27226447068352</c:v>
                </c:pt>
                <c:pt idx="26">
                  <c:v>128.72698964823209</c:v>
                </c:pt>
                <c:pt idx="27">
                  <c:v>129.27021754454762</c:v>
                </c:pt>
                <c:pt idx="28">
                  <c:v>130.3528556164832</c:v>
                </c:pt>
                <c:pt idx="29">
                  <c:v>130.90164113862861</c:v>
                </c:pt>
                <c:pt idx="30">
                  <c:v>131.40692147342372</c:v>
                </c:pt>
                <c:pt idx="31">
                  <c:v>132.64937391595495</c:v>
                </c:pt>
                <c:pt idx="32">
                  <c:v>133.93739933667888</c:v>
                </c:pt>
                <c:pt idx="33">
                  <c:v>134.67003691105052</c:v>
                </c:pt>
                <c:pt idx="34">
                  <c:v>135.05047976532424</c:v>
                </c:pt>
                <c:pt idx="35">
                  <c:v>136.20516136731777</c:v>
                </c:pt>
                <c:pt idx="36">
                  <c:v>136.0512495349727</c:v>
                </c:pt>
                <c:pt idx="37">
                  <c:v>137.58862865471789</c:v>
                </c:pt>
                <c:pt idx="38">
                  <c:v>138.48089091154375</c:v>
                </c:pt>
                <c:pt idx="39">
                  <c:v>139.49318622410712</c:v>
                </c:pt>
                <c:pt idx="40">
                  <c:v>140.50520929016301</c:v>
                </c:pt>
                <c:pt idx="41">
                  <c:v>140.79535254734719</c:v>
                </c:pt>
                <c:pt idx="42">
                  <c:v>141.94001876355713</c:v>
                </c:pt>
                <c:pt idx="43">
                  <c:v>142.81578867932828</c:v>
                </c:pt>
                <c:pt idx="44">
                  <c:v>143.90118867329119</c:v>
                </c:pt>
                <c:pt idx="45">
                  <c:v>144.92792365447511</c:v>
                </c:pt>
                <c:pt idx="46">
                  <c:v>145.58662106748471</c:v>
                </c:pt>
                <c:pt idx="47">
                  <c:v>146.92456211509491</c:v>
                </c:pt>
                <c:pt idx="48">
                  <c:v>147.6474309607012</c:v>
                </c:pt>
                <c:pt idx="49">
                  <c:v>148.49788016303484</c:v>
                </c:pt>
                <c:pt idx="50">
                  <c:v>147.99150239167889</c:v>
                </c:pt>
                <c:pt idx="51">
                  <c:v>146.30587917943768</c:v>
                </c:pt>
                <c:pt idx="52">
                  <c:v>148.81283041917735</c:v>
                </c:pt>
                <c:pt idx="53">
                  <c:v>150.02788717954994</c:v>
                </c:pt>
                <c:pt idx="54">
                  <c:v>151.2371119502171</c:v>
                </c:pt>
                <c:pt idx="55">
                  <c:v>152.21032276561675</c:v>
                </c:pt>
                <c:pt idx="56">
                  <c:v>153.12662890866577</c:v>
                </c:pt>
                <c:pt idx="57">
                  <c:v>152.85789167493107</c:v>
                </c:pt>
                <c:pt idx="58">
                  <c:v>152.99317090906339</c:v>
                </c:pt>
                <c:pt idx="59">
                  <c:v>154.68910020859036</c:v>
                </c:pt>
                <c:pt idx="60">
                  <c:v>155.62419581935131</c:v>
                </c:pt>
                <c:pt idx="61">
                  <c:v>155.92532863826176</c:v>
                </c:pt>
                <c:pt idx="62">
                  <c:v>156.14674260492808</c:v>
                </c:pt>
                <c:pt idx="63">
                  <c:v>157.31550097332595</c:v>
                </c:pt>
                <c:pt idx="64">
                  <c:v>157.90228779195647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1B7-463C-B175-0DD8B6F4E274}"/>
            </c:ext>
          </c:extLst>
        </c:ser>
        <c:ser>
          <c:idx val="1"/>
          <c:order val="1"/>
          <c:tx>
            <c:strRef>
              <c:f>Dados!$AQ$4</c:f>
              <c:strCache>
                <c:ptCount val="1"/>
                <c:pt idx="0">
                  <c:v>Moderada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Dados!$AQ$5:$AQ$76</c:f>
              <c:numCache>
                <c:formatCode>0.00</c:formatCode>
                <c:ptCount val="72"/>
                <c:pt idx="0">
                  <c:v>100</c:v>
                </c:pt>
                <c:pt idx="1">
                  <c:v>97.291499999999999</c:v>
                </c:pt>
                <c:pt idx="2">
                  <c:v>99.500989965000002</c:v>
                </c:pt>
                <c:pt idx="3">
                  <c:v>103.04372271270381</c:v>
                </c:pt>
                <c:pt idx="4">
                  <c:v>104.65481131731694</c:v>
                </c:pt>
                <c:pt idx="5">
                  <c:v>104.17549228148363</c:v>
                </c:pt>
                <c:pt idx="6">
                  <c:v>104.85732087846594</c:v>
                </c:pt>
                <c:pt idx="7">
                  <c:v>110.33244588813503</c:v>
                </c:pt>
                <c:pt idx="8">
                  <c:v>110.87307487298688</c:v>
                </c:pt>
                <c:pt idx="9">
                  <c:v>111.73622176087306</c:v>
                </c:pt>
                <c:pt idx="10">
                  <c:v>114.70337712973306</c:v>
                </c:pt>
                <c:pt idx="11">
                  <c:v>115.23215969830113</c:v>
                </c:pt>
                <c:pt idx="12">
                  <c:v>114.46068038912101</c:v>
                </c:pt>
                <c:pt idx="13">
                  <c:v>117.73940657886739</c:v>
                </c:pt>
                <c:pt idx="14">
                  <c:v>120.20016017636571</c:v>
                </c:pt>
                <c:pt idx="15">
                  <c:v>120.03608695772498</c:v>
                </c:pt>
                <c:pt idx="16">
                  <c:v>121.87023836643901</c:v>
                </c:pt>
                <c:pt idx="17">
                  <c:v>122.14871186110634</c:v>
                </c:pt>
                <c:pt idx="18">
                  <c:v>123.44959564242713</c:v>
                </c:pt>
                <c:pt idx="19">
                  <c:v>125.21430761213561</c:v>
                </c:pt>
                <c:pt idx="20">
                  <c:v>128.91188611592199</c:v>
                </c:pt>
                <c:pt idx="21">
                  <c:v>131.38634976991713</c:v>
                </c:pt>
                <c:pt idx="22">
                  <c:v>132.89203733828037</c:v>
                </c:pt>
                <c:pt idx="23">
                  <c:v>132.59568809501602</c:v>
                </c:pt>
                <c:pt idx="24">
                  <c:v>136.48538260528332</c:v>
                </c:pt>
                <c:pt idx="25">
                  <c:v>139.8401933097212</c:v>
                </c:pt>
                <c:pt idx="26">
                  <c:v>139.8905357793127</c:v>
                </c:pt>
                <c:pt idx="27">
                  <c:v>140.15422943925668</c:v>
                </c:pt>
                <c:pt idx="28">
                  <c:v>142.9404955205091</c:v>
                </c:pt>
                <c:pt idx="29">
                  <c:v>141.11800420262261</c:v>
                </c:pt>
                <c:pt idx="30">
                  <c:v>140.62973590808153</c:v>
                </c:pt>
                <c:pt idx="31">
                  <c:v>143.79742070941106</c:v>
                </c:pt>
                <c:pt idx="32">
                  <c:v>145.8314352253457</c:v>
                </c:pt>
                <c:pt idx="33">
                  <c:v>146.30611654700419</c:v>
                </c:pt>
                <c:pt idx="34">
                  <c:v>147.92572525717952</c:v>
                </c:pt>
                <c:pt idx="35">
                  <c:v>151.59872101531528</c:v>
                </c:pt>
                <c:pt idx="36">
                  <c:v>149.75376458055888</c:v>
                </c:pt>
                <c:pt idx="37">
                  <c:v>154.72334325816473</c:v>
                </c:pt>
                <c:pt idx="38">
                  <c:v>155.8048594275393</c:v>
                </c:pt>
                <c:pt idx="39">
                  <c:v>158.03131086875882</c:v>
                </c:pt>
                <c:pt idx="40">
                  <c:v>159.99247943664014</c:v>
                </c:pt>
                <c:pt idx="41">
                  <c:v>159.51650181031613</c:v>
                </c:pt>
                <c:pt idx="42">
                  <c:v>163.26194927282233</c:v>
                </c:pt>
                <c:pt idx="43">
                  <c:v>165.70924589242196</c:v>
                </c:pt>
                <c:pt idx="44">
                  <c:v>168.63235698996431</c:v>
                </c:pt>
                <c:pt idx="45">
                  <c:v>170.83975454296294</c:v>
                </c:pt>
                <c:pt idx="46">
                  <c:v>171.69480751445045</c:v>
                </c:pt>
                <c:pt idx="47">
                  <c:v>176.69799420542151</c:v>
                </c:pt>
                <c:pt idx="48">
                  <c:v>180.72935894321822</c:v>
                </c:pt>
                <c:pt idx="49">
                  <c:v>183.01648898064465</c:v>
                </c:pt>
                <c:pt idx="50">
                  <c:v>178.19491957844957</c:v>
                </c:pt>
                <c:pt idx="51">
                  <c:v>162.16094071478068</c:v>
                </c:pt>
                <c:pt idx="52">
                  <c:v>173.54544955766187</c:v>
                </c:pt>
                <c:pt idx="53">
                  <c:v>178.1530812434178</c:v>
                </c:pt>
                <c:pt idx="54">
                  <c:v>185.53396339933261</c:v>
                </c:pt>
                <c:pt idx="55">
                  <c:v>190.56842749617348</c:v>
                </c:pt>
                <c:pt idx="56">
                  <c:v>193.3364339055554</c:v>
                </c:pt>
                <c:pt idx="57">
                  <c:v>190.43348735046348</c:v>
                </c:pt>
                <c:pt idx="58">
                  <c:v>189.86313905584885</c:v>
                </c:pt>
                <c:pt idx="59">
                  <c:v>199.84424427601482</c:v>
                </c:pt>
                <c:pt idx="60">
                  <c:v>204.55157544993634</c:v>
                </c:pt>
                <c:pt idx="61">
                  <c:v>204.37054730566314</c:v>
                </c:pt>
                <c:pt idx="62">
                  <c:v>204.24996868275281</c:v>
                </c:pt>
                <c:pt idx="63">
                  <c:v>209.66259285284576</c:v>
                </c:pt>
                <c:pt idx="64">
                  <c:v>212.16177095965168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1B7-463C-B175-0DD8B6F4E274}"/>
            </c:ext>
          </c:extLst>
        </c:ser>
        <c:ser>
          <c:idx val="2"/>
          <c:order val="2"/>
          <c:tx>
            <c:strRef>
              <c:f>Dados!$AR$4</c:f>
              <c:strCache>
                <c:ptCount val="1"/>
                <c:pt idx="0">
                  <c:v>Agressiva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Dados!$AR$5:$AR$76</c:f>
              <c:numCache>
                <c:formatCode>0.00</c:formatCode>
                <c:ptCount val="72"/>
                <c:pt idx="0">
                  <c:v>100</c:v>
                </c:pt>
                <c:pt idx="1">
                  <c:v>95.540500000000009</c:v>
                </c:pt>
                <c:pt idx="2">
                  <c:v>97.785224047500009</c:v>
                </c:pt>
                <c:pt idx="3">
                  <c:v>99.773686578505917</c:v>
                </c:pt>
                <c:pt idx="4">
                  <c:v>100.30697693326802</c:v>
                </c:pt>
                <c:pt idx="5">
                  <c:v>101.0657992137682</c:v>
                </c:pt>
                <c:pt idx="6">
                  <c:v>99.960644699365645</c:v>
                </c:pt>
                <c:pt idx="7">
                  <c:v>106.63601655238929</c:v>
                </c:pt>
                <c:pt idx="8">
                  <c:v>106.67333915818264</c:v>
                </c:pt>
                <c:pt idx="9">
                  <c:v>107.14483531726182</c:v>
                </c:pt>
                <c:pt idx="10">
                  <c:v>108.94058275717914</c:v>
                </c:pt>
                <c:pt idx="11">
                  <c:v>110.35081860097083</c:v>
                </c:pt>
                <c:pt idx="12">
                  <c:v>108.82080450106837</c:v>
                </c:pt>
                <c:pt idx="13">
                  <c:v>112.23396903424438</c:v>
                </c:pt>
                <c:pt idx="14">
                  <c:v>115.25306280126554</c:v>
                </c:pt>
                <c:pt idx="15">
                  <c:v>114.80011826445657</c:v>
                </c:pt>
                <c:pt idx="16">
                  <c:v>117.44166898572172</c:v>
                </c:pt>
                <c:pt idx="17">
                  <c:v>118.38061512926257</c:v>
                </c:pt>
                <c:pt idx="18">
                  <c:v>120.00242955653347</c:v>
                </c:pt>
                <c:pt idx="19">
                  <c:v>121.33925662179324</c:v>
                </c:pt>
                <c:pt idx="20">
                  <c:v>125.54487525630458</c:v>
                </c:pt>
                <c:pt idx="21">
                  <c:v>128.3087456850721</c:v>
                </c:pt>
                <c:pt idx="22">
                  <c:v>130.54709175354816</c:v>
                </c:pt>
                <c:pt idx="23">
                  <c:v>130.4837764140477</c:v>
                </c:pt>
                <c:pt idx="24">
                  <c:v>135.50348729269612</c:v>
                </c:pt>
                <c:pt idx="25">
                  <c:v>137.82195196027413</c:v>
                </c:pt>
                <c:pt idx="26">
                  <c:v>137.23551955468318</c:v>
                </c:pt>
                <c:pt idx="27">
                  <c:v>137.23483337708541</c:v>
                </c:pt>
                <c:pt idx="28">
                  <c:v>141.84386525605481</c:v>
                </c:pt>
                <c:pt idx="29">
                  <c:v>141.55663142891129</c:v>
                </c:pt>
                <c:pt idx="30">
                  <c:v>141.8015244012833</c:v>
                </c:pt>
                <c:pt idx="31">
                  <c:v>144.54183886033812</c:v>
                </c:pt>
                <c:pt idx="32">
                  <c:v>149.1151426418792</c:v>
                </c:pt>
                <c:pt idx="33">
                  <c:v>148.30768414447343</c:v>
                </c:pt>
                <c:pt idx="34">
                  <c:v>147.37557034962541</c:v>
                </c:pt>
                <c:pt idx="35">
                  <c:v>153.15048207377549</c:v>
                </c:pt>
                <c:pt idx="36">
                  <c:v>149.64486753910677</c:v>
                </c:pt>
                <c:pt idx="37">
                  <c:v>154.81434948824523</c:v>
                </c:pt>
                <c:pt idx="38">
                  <c:v>157.2960235105418</c:v>
                </c:pt>
                <c:pt idx="39">
                  <c:v>161.25280498194948</c:v>
                </c:pt>
                <c:pt idx="40">
                  <c:v>164.15454920759967</c:v>
                </c:pt>
                <c:pt idx="41">
                  <c:v>162.20111007202922</c:v>
                </c:pt>
                <c:pt idx="42">
                  <c:v>167.72162485333075</c:v>
                </c:pt>
                <c:pt idx="43">
                  <c:v>171.65553556426562</c:v>
                </c:pt>
                <c:pt idx="44">
                  <c:v>177.23090735939297</c:v>
                </c:pt>
                <c:pt idx="45">
                  <c:v>179.71745698964526</c:v>
                </c:pt>
                <c:pt idx="46">
                  <c:v>179.88099987550584</c:v>
                </c:pt>
                <c:pt idx="47">
                  <c:v>189.36612499894125</c:v>
                </c:pt>
                <c:pt idx="48">
                  <c:v>194.36160337641334</c:v>
                </c:pt>
                <c:pt idx="49">
                  <c:v>199.74250436588935</c:v>
                </c:pt>
                <c:pt idx="50">
                  <c:v>192.58872657202502</c:v>
                </c:pt>
                <c:pt idx="51">
                  <c:v>172.39387270368249</c:v>
                </c:pt>
                <c:pt idx="52">
                  <c:v>191.35461279299702</c:v>
                </c:pt>
                <c:pt idx="53">
                  <c:v>196.87040950675518</c:v>
                </c:pt>
                <c:pt idx="54">
                  <c:v>208.50249765246181</c:v>
                </c:pt>
                <c:pt idx="55">
                  <c:v>215.15789737752837</c:v>
                </c:pt>
                <c:pt idx="56">
                  <c:v>223.09722379075916</c:v>
                </c:pt>
                <c:pt idx="57">
                  <c:v>218.84052876083149</c:v>
                </c:pt>
                <c:pt idx="58">
                  <c:v>217.50231892745902</c:v>
                </c:pt>
                <c:pt idx="59">
                  <c:v>231.52360591711766</c:v>
                </c:pt>
                <c:pt idx="60">
                  <c:v>236.83359981882674</c:v>
                </c:pt>
                <c:pt idx="61">
                  <c:v>238.26170642573427</c:v>
                </c:pt>
                <c:pt idx="62">
                  <c:v>240.42869664567635</c:v>
                </c:pt>
                <c:pt idx="63">
                  <c:v>249.15024761649829</c:v>
                </c:pt>
                <c:pt idx="64">
                  <c:v>253.37708156731216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1B7-463C-B175-0DD8B6F4E274}"/>
            </c:ext>
          </c:extLst>
        </c:ser>
        <c:ser>
          <c:idx val="3"/>
          <c:order val="3"/>
          <c:tx>
            <c:strRef>
              <c:f>Dados!$AL$4</c:f>
              <c:strCache>
                <c:ptCount val="1"/>
                <c:pt idx="0">
                  <c:v>CDI</c:v>
                </c:pt>
              </c:strCache>
            </c:strRef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Dados!$AL$5:$AL$76</c:f>
              <c:numCache>
                <c:formatCode>0.00</c:formatCode>
                <c:ptCount val="72"/>
                <c:pt idx="0">
                  <c:v>100</c:v>
                </c:pt>
                <c:pt idx="1">
                  <c:v>101.05</c:v>
                </c:pt>
                <c:pt idx="2">
                  <c:v>102.0605</c:v>
                </c:pt>
                <c:pt idx="3">
                  <c:v>103.08110500000001</c:v>
                </c:pt>
                <c:pt idx="4">
                  <c:v>104.16345660250001</c:v>
                </c:pt>
                <c:pt idx="5">
                  <c:v>105.25717289682625</c:v>
                </c:pt>
                <c:pt idx="6">
                  <c:v>106.47815610242944</c:v>
                </c:pt>
                <c:pt idx="7">
                  <c:v>107.71330271321763</c:v>
                </c:pt>
                <c:pt idx="8">
                  <c:v>108.90892037333435</c:v>
                </c:pt>
                <c:pt idx="9">
                  <c:v>110.11780938947838</c:v>
                </c:pt>
                <c:pt idx="10">
                  <c:v>111.34011707370161</c:v>
                </c:pt>
                <c:pt idx="11">
                  <c:v>112.4980542912681</c:v>
                </c:pt>
                <c:pt idx="12">
                  <c:v>113.66803405589729</c:v>
                </c:pt>
                <c:pt idx="13">
                  <c:v>114.89564882370098</c:v>
                </c:pt>
                <c:pt idx="14">
                  <c:v>115.8837514035848</c:v>
                </c:pt>
                <c:pt idx="15">
                  <c:v>117.10053079332243</c:v>
                </c:pt>
                <c:pt idx="16">
                  <c:v>118.02562498658969</c:v>
                </c:pt>
                <c:pt idx="17">
                  <c:v>119.12326329896499</c:v>
                </c:pt>
                <c:pt idx="18">
                  <c:v>120.0881617316866</c:v>
                </c:pt>
                <c:pt idx="19">
                  <c:v>121.04886702554009</c:v>
                </c:pt>
                <c:pt idx="20">
                  <c:v>122.01725796174441</c:v>
                </c:pt>
                <c:pt idx="21">
                  <c:v>122.79816841269957</c:v>
                </c:pt>
                <c:pt idx="22">
                  <c:v>123.58407669054084</c:v>
                </c:pt>
                <c:pt idx="23">
                  <c:v>124.28850592767692</c:v>
                </c:pt>
                <c:pt idx="24">
                  <c:v>124.99695041146468</c:v>
                </c:pt>
                <c:pt idx="25">
                  <c:v>125.72193272385118</c:v>
                </c:pt>
                <c:pt idx="26">
                  <c:v>126.30025361438089</c:v>
                </c:pt>
                <c:pt idx="27">
                  <c:v>126.96964495853712</c:v>
                </c:pt>
                <c:pt idx="28">
                  <c:v>127.62988711232153</c:v>
                </c:pt>
                <c:pt idx="29">
                  <c:v>128.29356252530562</c:v>
                </c:pt>
                <c:pt idx="30">
                  <c:v>128.96068905043722</c:v>
                </c:pt>
                <c:pt idx="31">
                  <c:v>129.65707677130959</c:v>
                </c:pt>
                <c:pt idx="32">
                  <c:v>130.39612210890607</c:v>
                </c:pt>
                <c:pt idx="33">
                  <c:v>131.00898388281792</c:v>
                </c:pt>
                <c:pt idx="34">
                  <c:v>131.71643239578515</c:v>
                </c:pt>
                <c:pt idx="35">
                  <c:v>132.36184291452449</c:v>
                </c:pt>
                <c:pt idx="36">
                  <c:v>133.01041594480566</c:v>
                </c:pt>
                <c:pt idx="37">
                  <c:v>133.72867219090762</c:v>
                </c:pt>
                <c:pt idx="38">
                  <c:v>134.38394268464305</c:v>
                </c:pt>
                <c:pt idx="39">
                  <c:v>135.01554721526085</c:v>
                </c:pt>
                <c:pt idx="40">
                  <c:v>135.71762806078021</c:v>
                </c:pt>
                <c:pt idx="41">
                  <c:v>136.45050325230844</c:v>
                </c:pt>
                <c:pt idx="42">
                  <c:v>137.09182061759427</c:v>
                </c:pt>
                <c:pt idx="43">
                  <c:v>137.87324399511456</c:v>
                </c:pt>
                <c:pt idx="44">
                  <c:v>138.56261021509013</c:v>
                </c:pt>
                <c:pt idx="45">
                  <c:v>139.19999822207953</c:v>
                </c:pt>
                <c:pt idx="46">
                  <c:v>139.86815821354551</c:v>
                </c:pt>
                <c:pt idx="47">
                  <c:v>140.39965721475699</c:v>
                </c:pt>
                <c:pt idx="48">
                  <c:v>140.9191359464516</c:v>
                </c:pt>
                <c:pt idx="49">
                  <c:v>141.45462866304811</c:v>
                </c:pt>
                <c:pt idx="50">
                  <c:v>141.86484708617093</c:v>
                </c:pt>
                <c:pt idx="51">
                  <c:v>142.34718756626393</c:v>
                </c:pt>
                <c:pt idx="52">
                  <c:v>142.74575969144945</c:v>
                </c:pt>
                <c:pt idx="53">
                  <c:v>143.08834951470891</c:v>
                </c:pt>
                <c:pt idx="54">
                  <c:v>143.3888350486898</c:v>
                </c:pt>
                <c:pt idx="55">
                  <c:v>143.66127383528232</c:v>
                </c:pt>
                <c:pt idx="56">
                  <c:v>143.89113187341877</c:v>
                </c:pt>
                <c:pt idx="57">
                  <c:v>144.12135768441624</c:v>
                </c:pt>
                <c:pt idx="58">
                  <c:v>144.35195185671131</c:v>
                </c:pt>
                <c:pt idx="59">
                  <c:v>144.56847978449639</c:v>
                </c:pt>
                <c:pt idx="60">
                  <c:v>144.79978935215158</c:v>
                </c:pt>
                <c:pt idx="61">
                  <c:v>145.01698903617981</c:v>
                </c:pt>
                <c:pt idx="62">
                  <c:v>145.20551112192686</c:v>
                </c:pt>
                <c:pt idx="63">
                  <c:v>145.49592214417072</c:v>
                </c:pt>
                <c:pt idx="64">
                  <c:v>145.80146358067347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A1B7-463C-B175-0DD8B6F4E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361056"/>
        <c:axId val="498356704"/>
      </c:lineChart>
      <c:dateAx>
        <c:axId val="4983610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56704"/>
        <c:crosses val="autoZero"/>
        <c:auto val="1"/>
        <c:lblOffset val="100"/>
        <c:baseTimeUnit val="months"/>
      </c:dateAx>
      <c:valAx>
        <c:axId val="4983567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6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Conservadora</a:t>
            </a:r>
            <a:r>
              <a:rPr lang="pt-BR" baseline="0"/>
              <a:t> x CDI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Dados!$AL$4</c:f>
              <c:strCache>
                <c:ptCount val="1"/>
                <c:pt idx="0">
                  <c:v>CDI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Dados!$AL$5:$AL$76</c:f>
              <c:numCache>
                <c:formatCode>0.00</c:formatCode>
                <c:ptCount val="72"/>
                <c:pt idx="0">
                  <c:v>100</c:v>
                </c:pt>
                <c:pt idx="1">
                  <c:v>101.05</c:v>
                </c:pt>
                <c:pt idx="2">
                  <c:v>102.0605</c:v>
                </c:pt>
                <c:pt idx="3">
                  <c:v>103.08110500000001</c:v>
                </c:pt>
                <c:pt idx="4">
                  <c:v>104.16345660250001</c:v>
                </c:pt>
                <c:pt idx="5">
                  <c:v>105.25717289682625</c:v>
                </c:pt>
                <c:pt idx="6">
                  <c:v>106.47815610242944</c:v>
                </c:pt>
                <c:pt idx="7">
                  <c:v>107.71330271321763</c:v>
                </c:pt>
                <c:pt idx="8">
                  <c:v>108.90892037333435</c:v>
                </c:pt>
                <c:pt idx="9">
                  <c:v>110.11780938947838</c:v>
                </c:pt>
                <c:pt idx="10">
                  <c:v>111.34011707370161</c:v>
                </c:pt>
                <c:pt idx="11">
                  <c:v>112.4980542912681</c:v>
                </c:pt>
                <c:pt idx="12">
                  <c:v>113.66803405589729</c:v>
                </c:pt>
                <c:pt idx="13">
                  <c:v>114.89564882370098</c:v>
                </c:pt>
                <c:pt idx="14">
                  <c:v>115.8837514035848</c:v>
                </c:pt>
                <c:pt idx="15">
                  <c:v>117.10053079332243</c:v>
                </c:pt>
                <c:pt idx="16">
                  <c:v>118.02562498658969</c:v>
                </c:pt>
                <c:pt idx="17">
                  <c:v>119.12326329896499</c:v>
                </c:pt>
                <c:pt idx="18">
                  <c:v>120.0881617316866</c:v>
                </c:pt>
                <c:pt idx="19">
                  <c:v>121.04886702554009</c:v>
                </c:pt>
                <c:pt idx="20">
                  <c:v>122.01725796174441</c:v>
                </c:pt>
                <c:pt idx="21">
                  <c:v>122.79816841269957</c:v>
                </c:pt>
                <c:pt idx="22">
                  <c:v>123.58407669054084</c:v>
                </c:pt>
                <c:pt idx="23">
                  <c:v>124.28850592767692</c:v>
                </c:pt>
                <c:pt idx="24">
                  <c:v>124.99695041146468</c:v>
                </c:pt>
                <c:pt idx="25">
                  <c:v>125.72193272385118</c:v>
                </c:pt>
                <c:pt idx="26">
                  <c:v>126.30025361438089</c:v>
                </c:pt>
                <c:pt idx="27">
                  <c:v>126.96964495853712</c:v>
                </c:pt>
                <c:pt idx="28">
                  <c:v>127.62988711232153</c:v>
                </c:pt>
                <c:pt idx="29">
                  <c:v>128.29356252530562</c:v>
                </c:pt>
                <c:pt idx="30">
                  <c:v>128.96068905043722</c:v>
                </c:pt>
                <c:pt idx="31">
                  <c:v>129.65707677130959</c:v>
                </c:pt>
                <c:pt idx="32">
                  <c:v>130.39612210890607</c:v>
                </c:pt>
                <c:pt idx="33">
                  <c:v>131.00898388281792</c:v>
                </c:pt>
                <c:pt idx="34">
                  <c:v>131.71643239578515</c:v>
                </c:pt>
                <c:pt idx="35">
                  <c:v>132.36184291452449</c:v>
                </c:pt>
                <c:pt idx="36">
                  <c:v>133.01041594480566</c:v>
                </c:pt>
                <c:pt idx="37">
                  <c:v>133.72867219090762</c:v>
                </c:pt>
                <c:pt idx="38">
                  <c:v>134.38394268464305</c:v>
                </c:pt>
                <c:pt idx="39">
                  <c:v>135.01554721526085</c:v>
                </c:pt>
                <c:pt idx="40">
                  <c:v>135.71762806078021</c:v>
                </c:pt>
                <c:pt idx="41">
                  <c:v>136.45050325230844</c:v>
                </c:pt>
                <c:pt idx="42">
                  <c:v>137.09182061759427</c:v>
                </c:pt>
                <c:pt idx="43">
                  <c:v>137.87324399511456</c:v>
                </c:pt>
                <c:pt idx="44">
                  <c:v>138.56261021509013</c:v>
                </c:pt>
                <c:pt idx="45">
                  <c:v>139.19999822207953</c:v>
                </c:pt>
                <c:pt idx="46">
                  <c:v>139.86815821354551</c:v>
                </c:pt>
                <c:pt idx="47">
                  <c:v>140.39965721475699</c:v>
                </c:pt>
                <c:pt idx="48">
                  <c:v>140.9191359464516</c:v>
                </c:pt>
                <c:pt idx="49">
                  <c:v>141.45462866304811</c:v>
                </c:pt>
                <c:pt idx="50">
                  <c:v>141.86484708617093</c:v>
                </c:pt>
                <c:pt idx="51">
                  <c:v>142.34718756626393</c:v>
                </c:pt>
                <c:pt idx="52">
                  <c:v>142.74575969144945</c:v>
                </c:pt>
                <c:pt idx="53">
                  <c:v>143.08834951470891</c:v>
                </c:pt>
                <c:pt idx="54">
                  <c:v>143.3888350486898</c:v>
                </c:pt>
                <c:pt idx="55">
                  <c:v>143.66127383528232</c:v>
                </c:pt>
                <c:pt idx="56">
                  <c:v>143.89113187341877</c:v>
                </c:pt>
                <c:pt idx="57">
                  <c:v>144.12135768441624</c:v>
                </c:pt>
                <c:pt idx="58">
                  <c:v>144.35195185671131</c:v>
                </c:pt>
                <c:pt idx="59">
                  <c:v>144.56847978449639</c:v>
                </c:pt>
                <c:pt idx="60">
                  <c:v>144.79978935215158</c:v>
                </c:pt>
                <c:pt idx="61">
                  <c:v>145.01698903617981</c:v>
                </c:pt>
                <c:pt idx="62">
                  <c:v>145.20551112192686</c:v>
                </c:pt>
                <c:pt idx="63">
                  <c:v>145.49592214417072</c:v>
                </c:pt>
                <c:pt idx="64">
                  <c:v>145.80146358067347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707-4CA9-A7B9-36114746AA1F}"/>
            </c:ext>
          </c:extLst>
        </c:ser>
        <c:ser>
          <c:idx val="1"/>
          <c:order val="1"/>
          <c:tx>
            <c:strRef>
              <c:f>Dados!$AP$4</c:f>
              <c:strCache>
                <c:ptCount val="1"/>
                <c:pt idx="0">
                  <c:v>Conservadora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Dados!$AP$5:$AP$76</c:f>
              <c:numCache>
                <c:formatCode>0.00</c:formatCode>
                <c:ptCount val="72"/>
                <c:pt idx="0">
                  <c:v>100</c:v>
                </c:pt>
                <c:pt idx="1">
                  <c:v>100.32399999999998</c:v>
                </c:pt>
                <c:pt idx="2">
                  <c:v>101.56550949999999</c:v>
                </c:pt>
                <c:pt idx="3">
                  <c:v>103.11489134742249</c:v>
                </c:pt>
                <c:pt idx="4">
                  <c:v>104.25327974789802</c:v>
                </c:pt>
                <c:pt idx="5">
                  <c:v>105.08782725227995</c:v>
                </c:pt>
                <c:pt idx="6">
                  <c:v>105.9243263572081</c:v>
                </c:pt>
                <c:pt idx="7">
                  <c:v>107.89292996255682</c:v>
                </c:pt>
                <c:pt idx="8">
                  <c:v>108.98049069657941</c:v>
                </c:pt>
                <c:pt idx="9">
                  <c:v>110.14004311759101</c:v>
                </c:pt>
                <c:pt idx="10">
                  <c:v>111.67814881972816</c:v>
                </c:pt>
                <c:pt idx="11">
                  <c:v>113.02666246672639</c:v>
                </c:pt>
                <c:pt idx="12">
                  <c:v>113.81671883736881</c:v>
                </c:pt>
                <c:pt idx="13">
                  <c:v>115.20869730874983</c:v>
                </c:pt>
                <c:pt idx="14">
                  <c:v>116.45698354409014</c:v>
                </c:pt>
                <c:pt idx="15">
                  <c:v>117.40610795997448</c:v>
                </c:pt>
                <c:pt idx="16">
                  <c:v>118.46334996215404</c:v>
                </c:pt>
                <c:pt idx="17">
                  <c:v>119.39328725935694</c:v>
                </c:pt>
                <c:pt idx="18">
                  <c:v>120.48633280421636</c:v>
                </c:pt>
                <c:pt idx="19">
                  <c:v>121.38937786858396</c:v>
                </c:pt>
                <c:pt idx="20">
                  <c:v>122.77018204183909</c:v>
                </c:pt>
                <c:pt idx="21">
                  <c:v>123.91992479666092</c:v>
                </c:pt>
                <c:pt idx="22">
                  <c:v>124.99245174577604</c:v>
                </c:pt>
                <c:pt idx="23">
                  <c:v>125.60054002351923</c:v>
                </c:pt>
                <c:pt idx="24">
                  <c:v>126.85654542375443</c:v>
                </c:pt>
                <c:pt idx="25">
                  <c:v>128.27226447068352</c:v>
                </c:pt>
                <c:pt idx="26">
                  <c:v>128.72698964823209</c:v>
                </c:pt>
                <c:pt idx="27">
                  <c:v>129.27021754454762</c:v>
                </c:pt>
                <c:pt idx="28">
                  <c:v>130.3528556164832</c:v>
                </c:pt>
                <c:pt idx="29">
                  <c:v>130.90164113862861</c:v>
                </c:pt>
                <c:pt idx="30">
                  <c:v>131.40692147342372</c:v>
                </c:pt>
                <c:pt idx="31">
                  <c:v>132.64937391595495</c:v>
                </c:pt>
                <c:pt idx="32">
                  <c:v>133.93739933667888</c:v>
                </c:pt>
                <c:pt idx="33">
                  <c:v>134.67003691105052</c:v>
                </c:pt>
                <c:pt idx="34">
                  <c:v>135.05047976532424</c:v>
                </c:pt>
                <c:pt idx="35">
                  <c:v>136.20516136731777</c:v>
                </c:pt>
                <c:pt idx="36">
                  <c:v>136.0512495349727</c:v>
                </c:pt>
                <c:pt idx="37">
                  <c:v>137.58862865471789</c:v>
                </c:pt>
                <c:pt idx="38">
                  <c:v>138.48089091154375</c:v>
                </c:pt>
                <c:pt idx="39">
                  <c:v>139.49318622410712</c:v>
                </c:pt>
                <c:pt idx="40">
                  <c:v>140.50520929016301</c:v>
                </c:pt>
                <c:pt idx="41">
                  <c:v>140.79535254734719</c:v>
                </c:pt>
                <c:pt idx="42">
                  <c:v>141.94001876355713</c:v>
                </c:pt>
                <c:pt idx="43">
                  <c:v>142.81578867932828</c:v>
                </c:pt>
                <c:pt idx="44">
                  <c:v>143.90118867329119</c:v>
                </c:pt>
                <c:pt idx="45">
                  <c:v>144.92792365447511</c:v>
                </c:pt>
                <c:pt idx="46">
                  <c:v>145.58662106748471</c:v>
                </c:pt>
                <c:pt idx="47">
                  <c:v>146.92456211509491</c:v>
                </c:pt>
                <c:pt idx="48">
                  <c:v>147.6474309607012</c:v>
                </c:pt>
                <c:pt idx="49">
                  <c:v>148.49788016303484</c:v>
                </c:pt>
                <c:pt idx="50">
                  <c:v>147.99150239167889</c:v>
                </c:pt>
                <c:pt idx="51">
                  <c:v>146.30587917943768</c:v>
                </c:pt>
                <c:pt idx="52">
                  <c:v>148.81283041917735</c:v>
                </c:pt>
                <c:pt idx="53">
                  <c:v>150.02788717954994</c:v>
                </c:pt>
                <c:pt idx="54">
                  <c:v>151.2371119502171</c:v>
                </c:pt>
                <c:pt idx="55">
                  <c:v>152.21032276561675</c:v>
                </c:pt>
                <c:pt idx="56">
                  <c:v>153.12662890866577</c:v>
                </c:pt>
                <c:pt idx="57">
                  <c:v>152.85789167493107</c:v>
                </c:pt>
                <c:pt idx="58">
                  <c:v>152.99317090906339</c:v>
                </c:pt>
                <c:pt idx="59">
                  <c:v>154.68910020859036</c:v>
                </c:pt>
                <c:pt idx="60">
                  <c:v>155.62419581935131</c:v>
                </c:pt>
                <c:pt idx="61">
                  <c:v>155.92532863826176</c:v>
                </c:pt>
                <c:pt idx="62">
                  <c:v>156.14674260492808</c:v>
                </c:pt>
                <c:pt idx="63">
                  <c:v>157.31550097332595</c:v>
                </c:pt>
                <c:pt idx="64">
                  <c:v>157.90228779195647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707-4CA9-A7B9-36114746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362688"/>
        <c:axId val="498348544"/>
      </c:lineChart>
      <c:dateAx>
        <c:axId val="498362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48544"/>
        <c:crosses val="autoZero"/>
        <c:auto val="1"/>
        <c:lblOffset val="100"/>
        <c:baseTimeUnit val="months"/>
      </c:dateAx>
      <c:valAx>
        <c:axId val="49834854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6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Moderada e Agressiva x BOVA11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Dados!$AN$4</c:f>
              <c:strCache>
                <c:ptCount val="1"/>
                <c:pt idx="0">
                  <c:v>BOVA11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Dados!$AN$5:$AN$76</c:f>
              <c:numCache>
                <c:formatCode>0.00</c:formatCode>
                <c:ptCount val="72"/>
                <c:pt idx="0">
                  <c:v>100</c:v>
                </c:pt>
                <c:pt idx="1">
                  <c:v>93.02</c:v>
                </c:pt>
                <c:pt idx="2">
                  <c:v>98.387253999999999</c:v>
                </c:pt>
                <c:pt idx="3">
                  <c:v>115.45744256899999</c:v>
                </c:pt>
                <c:pt idx="4">
                  <c:v>123.7934699224818</c:v>
                </c:pt>
                <c:pt idx="5">
                  <c:v>111.61219248210959</c:v>
                </c:pt>
                <c:pt idx="6">
                  <c:v>118.45401988126289</c:v>
                </c:pt>
                <c:pt idx="7">
                  <c:v>132.17099538351312</c:v>
                </c:pt>
                <c:pt idx="8">
                  <c:v>132.76576486273891</c:v>
                </c:pt>
                <c:pt idx="9">
                  <c:v>134.26601800568787</c:v>
                </c:pt>
                <c:pt idx="10">
                  <c:v>149.31723862412548</c:v>
                </c:pt>
                <c:pt idx="11">
                  <c:v>142.43371392355328</c:v>
                </c:pt>
                <c:pt idx="12">
                  <c:v>138.26040610559318</c:v>
                </c:pt>
                <c:pt idx="13">
                  <c:v>148.11837306092195</c:v>
                </c:pt>
                <c:pt idx="14">
                  <c:v>153.12477407038114</c:v>
                </c:pt>
                <c:pt idx="15">
                  <c:v>149.03634260270198</c:v>
                </c:pt>
                <c:pt idx="16">
                  <c:v>150.00507882961952</c:v>
                </c:pt>
                <c:pt idx="17">
                  <c:v>143.76486755030734</c:v>
                </c:pt>
                <c:pt idx="18">
                  <c:v>144.64183324236421</c:v>
                </c:pt>
                <c:pt idx="19">
                  <c:v>151.26642920486449</c:v>
                </c:pt>
                <c:pt idx="20">
                  <c:v>162.3996383943425</c:v>
                </c:pt>
                <c:pt idx="21">
                  <c:v>169.91874165200056</c:v>
                </c:pt>
                <c:pt idx="22">
                  <c:v>170.37752225446096</c:v>
                </c:pt>
                <c:pt idx="23">
                  <c:v>164.75506402006374</c:v>
                </c:pt>
                <c:pt idx="24">
                  <c:v>175.24996159814182</c:v>
                </c:pt>
                <c:pt idx="25">
                  <c:v>194.66765734321595</c:v>
                </c:pt>
                <c:pt idx="26">
                  <c:v>195.85513005300956</c:v>
                </c:pt>
                <c:pt idx="27">
                  <c:v>195.69844594896716</c:v>
                </c:pt>
                <c:pt idx="28">
                  <c:v>197.47930180710279</c:v>
                </c:pt>
                <c:pt idx="29">
                  <c:v>175.85531825922502</c:v>
                </c:pt>
                <c:pt idx="30">
                  <c:v>167.02738128261191</c:v>
                </c:pt>
                <c:pt idx="31">
                  <c:v>181.50865523981437</c:v>
                </c:pt>
                <c:pt idx="32">
                  <c:v>175.97264125500004</c:v>
                </c:pt>
                <c:pt idx="33">
                  <c:v>181.88532200116805</c:v>
                </c:pt>
                <c:pt idx="34">
                  <c:v>199.61914089628192</c:v>
                </c:pt>
                <c:pt idx="35">
                  <c:v>205.04878152866075</c:v>
                </c:pt>
                <c:pt idx="36">
                  <c:v>200.84528150732322</c:v>
                </c:pt>
                <c:pt idx="37">
                  <c:v>223.15919228278682</c:v>
                </c:pt>
                <c:pt idx="38">
                  <c:v>218.048846779511</c:v>
                </c:pt>
                <c:pt idx="39">
                  <c:v>217.9616272407992</c:v>
                </c:pt>
                <c:pt idx="40">
                  <c:v>220.51177827951656</c:v>
                </c:pt>
                <c:pt idx="41">
                  <c:v>222.1876677944409</c:v>
                </c:pt>
                <c:pt idx="42">
                  <c:v>230.54192410351189</c:v>
                </c:pt>
                <c:pt idx="43">
                  <c:v>232.61680142044347</c:v>
                </c:pt>
                <c:pt idx="44">
                  <c:v>231.73285757504578</c:v>
                </c:pt>
                <c:pt idx="45">
                  <c:v>239.79716101865736</c:v>
                </c:pt>
                <c:pt idx="46">
                  <c:v>245.07269856106782</c:v>
                </c:pt>
                <c:pt idx="47">
                  <c:v>247.71948370552732</c:v>
                </c:pt>
                <c:pt idx="48">
                  <c:v>264.04419768172158</c:v>
                </c:pt>
                <c:pt idx="49">
                  <c:v>258.5256739501736</c:v>
                </c:pt>
                <c:pt idx="50">
                  <c:v>238.82601759517036</c:v>
                </c:pt>
                <c:pt idx="51">
                  <c:v>164.64665653011045</c:v>
                </c:pt>
                <c:pt idx="52">
                  <c:v>183.30112271497197</c:v>
                </c:pt>
                <c:pt idx="53">
                  <c:v>199.77989364704797</c:v>
                </c:pt>
                <c:pt idx="54">
                  <c:v>217.52034820290584</c:v>
                </c:pt>
                <c:pt idx="55">
                  <c:v>235.72680134748904</c:v>
                </c:pt>
                <c:pt idx="56">
                  <c:v>227.19349113870993</c:v>
                </c:pt>
                <c:pt idx="57">
                  <c:v>216.15188746936863</c:v>
                </c:pt>
                <c:pt idx="58">
                  <c:v>215.22243435325035</c:v>
                </c:pt>
                <c:pt idx="59">
                  <c:v>249.27062346793454</c:v>
                </c:pt>
                <c:pt idx="60">
                  <c:v>272.17859376463775</c:v>
                </c:pt>
                <c:pt idx="61">
                  <c:v>262.46181796724022</c:v>
                </c:pt>
                <c:pt idx="62">
                  <c:v>250.65103615871439</c:v>
                </c:pt>
                <c:pt idx="63">
                  <c:v>265.9156842607801</c:v>
                </c:pt>
                <c:pt idx="64">
                  <c:v>271.55309676710868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F13-443D-A64D-A60B9E779D18}"/>
            </c:ext>
          </c:extLst>
        </c:ser>
        <c:ser>
          <c:idx val="1"/>
          <c:order val="1"/>
          <c:tx>
            <c:strRef>
              <c:f>Dados!$AQ$4</c:f>
              <c:strCache>
                <c:ptCount val="1"/>
                <c:pt idx="0">
                  <c:v>Moderada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Dados!$AQ$5:$AQ$76</c:f>
              <c:numCache>
                <c:formatCode>0.00</c:formatCode>
                <c:ptCount val="72"/>
                <c:pt idx="0">
                  <c:v>100</c:v>
                </c:pt>
                <c:pt idx="1">
                  <c:v>97.291499999999999</c:v>
                </c:pt>
                <c:pt idx="2">
                  <c:v>99.500989965000002</c:v>
                </c:pt>
                <c:pt idx="3">
                  <c:v>103.04372271270381</c:v>
                </c:pt>
                <c:pt idx="4">
                  <c:v>104.65481131731694</c:v>
                </c:pt>
                <c:pt idx="5">
                  <c:v>104.17549228148363</c:v>
                </c:pt>
                <c:pt idx="6">
                  <c:v>104.85732087846594</c:v>
                </c:pt>
                <c:pt idx="7">
                  <c:v>110.33244588813503</c:v>
                </c:pt>
                <c:pt idx="8">
                  <c:v>110.87307487298688</c:v>
                </c:pt>
                <c:pt idx="9">
                  <c:v>111.73622176087306</c:v>
                </c:pt>
                <c:pt idx="10">
                  <c:v>114.70337712973306</c:v>
                </c:pt>
                <c:pt idx="11">
                  <c:v>115.23215969830113</c:v>
                </c:pt>
                <c:pt idx="12">
                  <c:v>114.46068038912101</c:v>
                </c:pt>
                <c:pt idx="13">
                  <c:v>117.73940657886739</c:v>
                </c:pt>
                <c:pt idx="14">
                  <c:v>120.20016017636571</c:v>
                </c:pt>
                <c:pt idx="15">
                  <c:v>120.03608695772498</c:v>
                </c:pt>
                <c:pt idx="16">
                  <c:v>121.87023836643901</c:v>
                </c:pt>
                <c:pt idx="17">
                  <c:v>122.14871186110634</c:v>
                </c:pt>
                <c:pt idx="18">
                  <c:v>123.44959564242713</c:v>
                </c:pt>
                <c:pt idx="19">
                  <c:v>125.21430761213561</c:v>
                </c:pt>
                <c:pt idx="20">
                  <c:v>128.91188611592199</c:v>
                </c:pt>
                <c:pt idx="21">
                  <c:v>131.38634976991713</c:v>
                </c:pt>
                <c:pt idx="22">
                  <c:v>132.89203733828037</c:v>
                </c:pt>
                <c:pt idx="23">
                  <c:v>132.59568809501602</c:v>
                </c:pt>
                <c:pt idx="24">
                  <c:v>136.48538260528332</c:v>
                </c:pt>
                <c:pt idx="25">
                  <c:v>139.8401933097212</c:v>
                </c:pt>
                <c:pt idx="26">
                  <c:v>139.8905357793127</c:v>
                </c:pt>
                <c:pt idx="27">
                  <c:v>140.15422943925668</c:v>
                </c:pt>
                <c:pt idx="28">
                  <c:v>142.9404955205091</c:v>
                </c:pt>
                <c:pt idx="29">
                  <c:v>141.11800420262261</c:v>
                </c:pt>
                <c:pt idx="30">
                  <c:v>140.62973590808153</c:v>
                </c:pt>
                <c:pt idx="31">
                  <c:v>143.79742070941106</c:v>
                </c:pt>
                <c:pt idx="32">
                  <c:v>145.8314352253457</c:v>
                </c:pt>
                <c:pt idx="33">
                  <c:v>146.30611654700419</c:v>
                </c:pt>
                <c:pt idx="34">
                  <c:v>147.92572525717952</c:v>
                </c:pt>
                <c:pt idx="35">
                  <c:v>151.59872101531528</c:v>
                </c:pt>
                <c:pt idx="36">
                  <c:v>149.75376458055888</c:v>
                </c:pt>
                <c:pt idx="37">
                  <c:v>154.72334325816473</c:v>
                </c:pt>
                <c:pt idx="38">
                  <c:v>155.8048594275393</c:v>
                </c:pt>
                <c:pt idx="39">
                  <c:v>158.03131086875882</c:v>
                </c:pt>
                <c:pt idx="40">
                  <c:v>159.99247943664014</c:v>
                </c:pt>
                <c:pt idx="41">
                  <c:v>159.51650181031613</c:v>
                </c:pt>
                <c:pt idx="42">
                  <c:v>163.26194927282233</c:v>
                </c:pt>
                <c:pt idx="43">
                  <c:v>165.70924589242196</c:v>
                </c:pt>
                <c:pt idx="44">
                  <c:v>168.63235698996431</c:v>
                </c:pt>
                <c:pt idx="45">
                  <c:v>170.83975454296294</c:v>
                </c:pt>
                <c:pt idx="46">
                  <c:v>171.69480751445045</c:v>
                </c:pt>
                <c:pt idx="47">
                  <c:v>176.69799420542151</c:v>
                </c:pt>
                <c:pt idx="48">
                  <c:v>180.72935894321822</c:v>
                </c:pt>
                <c:pt idx="49">
                  <c:v>183.01648898064465</c:v>
                </c:pt>
                <c:pt idx="50">
                  <c:v>178.19491957844957</c:v>
                </c:pt>
                <c:pt idx="51">
                  <c:v>162.16094071478068</c:v>
                </c:pt>
                <c:pt idx="52">
                  <c:v>173.54544955766187</c:v>
                </c:pt>
                <c:pt idx="53">
                  <c:v>178.1530812434178</c:v>
                </c:pt>
                <c:pt idx="54">
                  <c:v>185.53396339933261</c:v>
                </c:pt>
                <c:pt idx="55">
                  <c:v>190.56842749617348</c:v>
                </c:pt>
                <c:pt idx="56">
                  <c:v>193.3364339055554</c:v>
                </c:pt>
                <c:pt idx="57">
                  <c:v>190.43348735046348</c:v>
                </c:pt>
                <c:pt idx="58">
                  <c:v>189.86313905584885</c:v>
                </c:pt>
                <c:pt idx="59">
                  <c:v>199.84424427601482</c:v>
                </c:pt>
                <c:pt idx="60">
                  <c:v>204.55157544993634</c:v>
                </c:pt>
                <c:pt idx="61">
                  <c:v>204.37054730566314</c:v>
                </c:pt>
                <c:pt idx="62">
                  <c:v>204.24996868275281</c:v>
                </c:pt>
                <c:pt idx="63">
                  <c:v>209.66259285284576</c:v>
                </c:pt>
                <c:pt idx="64">
                  <c:v>212.16177095965168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F13-443D-A64D-A60B9E779D18}"/>
            </c:ext>
          </c:extLst>
        </c:ser>
        <c:ser>
          <c:idx val="2"/>
          <c:order val="2"/>
          <c:tx>
            <c:strRef>
              <c:f>Dados!$AR$4</c:f>
              <c:strCache>
                <c:ptCount val="1"/>
                <c:pt idx="0">
                  <c:v>Agressiva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Dados!$AJ$5:$AJ$76</c:f>
              <c:numCache>
                <c:formatCode>m/d/yyyy</c:formatCode>
                <c:ptCount val="7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42492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  <c:pt idx="12">
                  <c:v>42737</c:v>
                </c:pt>
                <c:pt idx="13">
                  <c:v>42767</c:v>
                </c:pt>
                <c:pt idx="14">
                  <c:v>42795</c:v>
                </c:pt>
                <c:pt idx="15">
                  <c:v>42828</c:v>
                </c:pt>
                <c:pt idx="16">
                  <c:v>42857</c:v>
                </c:pt>
                <c:pt idx="17">
                  <c:v>42887</c:v>
                </c:pt>
                <c:pt idx="18">
                  <c:v>42919</c:v>
                </c:pt>
                <c:pt idx="19">
                  <c:v>42948</c:v>
                </c:pt>
                <c:pt idx="20">
                  <c:v>42979</c:v>
                </c:pt>
                <c:pt idx="21">
                  <c:v>43010</c:v>
                </c:pt>
                <c:pt idx="22">
                  <c:v>43040</c:v>
                </c:pt>
                <c:pt idx="23">
                  <c:v>43070</c:v>
                </c:pt>
                <c:pt idx="24">
                  <c:v>43102</c:v>
                </c:pt>
                <c:pt idx="25">
                  <c:v>43132</c:v>
                </c:pt>
                <c:pt idx="26">
                  <c:v>43160</c:v>
                </c:pt>
                <c:pt idx="27">
                  <c:v>43192</c:v>
                </c:pt>
                <c:pt idx="28">
                  <c:v>43222</c:v>
                </c:pt>
                <c:pt idx="29">
                  <c:v>43252</c:v>
                </c:pt>
                <c:pt idx="30">
                  <c:v>43283</c:v>
                </c:pt>
                <c:pt idx="31">
                  <c:v>43313</c:v>
                </c:pt>
                <c:pt idx="32">
                  <c:v>43346</c:v>
                </c:pt>
                <c:pt idx="33">
                  <c:v>43374</c:v>
                </c:pt>
                <c:pt idx="34">
                  <c:v>43405</c:v>
                </c:pt>
                <c:pt idx="35">
                  <c:v>43437</c:v>
                </c:pt>
                <c:pt idx="36">
                  <c:v>43467</c:v>
                </c:pt>
                <c:pt idx="37">
                  <c:v>43497</c:v>
                </c:pt>
                <c:pt idx="38">
                  <c:v>43525</c:v>
                </c:pt>
                <c:pt idx="39">
                  <c:v>43556</c:v>
                </c:pt>
                <c:pt idx="40">
                  <c:v>43587</c:v>
                </c:pt>
                <c:pt idx="41">
                  <c:v>43619</c:v>
                </c:pt>
                <c:pt idx="42">
                  <c:v>43647</c:v>
                </c:pt>
                <c:pt idx="43">
                  <c:v>43678</c:v>
                </c:pt>
                <c:pt idx="44">
                  <c:v>43710</c:v>
                </c:pt>
                <c:pt idx="45">
                  <c:v>43739</c:v>
                </c:pt>
                <c:pt idx="46">
                  <c:v>43770</c:v>
                </c:pt>
                <c:pt idx="47">
                  <c:v>43801</c:v>
                </c:pt>
                <c:pt idx="48">
                  <c:v>43832</c:v>
                </c:pt>
                <c:pt idx="49">
                  <c:v>43864</c:v>
                </c:pt>
                <c:pt idx="50">
                  <c:v>43892</c:v>
                </c:pt>
                <c:pt idx="51">
                  <c:v>43922</c:v>
                </c:pt>
                <c:pt idx="52">
                  <c:v>43955</c:v>
                </c:pt>
                <c:pt idx="53">
                  <c:v>43983</c:v>
                </c:pt>
                <c:pt idx="54">
                  <c:v>44013</c:v>
                </c:pt>
                <c:pt idx="55">
                  <c:v>44046</c:v>
                </c:pt>
                <c:pt idx="56">
                  <c:v>44075</c:v>
                </c:pt>
                <c:pt idx="57">
                  <c:v>44105</c:v>
                </c:pt>
                <c:pt idx="58">
                  <c:v>44138</c:v>
                </c:pt>
                <c:pt idx="59">
                  <c:v>44166</c:v>
                </c:pt>
                <c:pt idx="60">
                  <c:v>44200</c:v>
                </c:pt>
                <c:pt idx="61">
                  <c:v>44228</c:v>
                </c:pt>
                <c:pt idx="62">
                  <c:v>44256</c:v>
                </c:pt>
                <c:pt idx="63">
                  <c:v>44287</c:v>
                </c:pt>
                <c:pt idx="64">
                  <c:v>44319</c:v>
                </c:pt>
                <c:pt idx="65">
                  <c:v>44348</c:v>
                </c:pt>
                <c:pt idx="66">
                  <c:v>44378</c:v>
                </c:pt>
                <c:pt idx="67">
                  <c:v>44409</c:v>
                </c:pt>
                <c:pt idx="68">
                  <c:v>44440</c:v>
                </c:pt>
                <c:pt idx="69">
                  <c:v>44470</c:v>
                </c:pt>
                <c:pt idx="70">
                  <c:v>44501</c:v>
                </c:pt>
                <c:pt idx="71">
                  <c:v>44531</c:v>
                </c:pt>
              </c:numCache>
            </c:numRef>
          </c:cat>
          <c:val>
            <c:numRef>
              <c:f>Dados!$AR$5:$AR$76</c:f>
              <c:numCache>
                <c:formatCode>0.00</c:formatCode>
                <c:ptCount val="72"/>
                <c:pt idx="0">
                  <c:v>100</c:v>
                </c:pt>
                <c:pt idx="1">
                  <c:v>95.540500000000009</c:v>
                </c:pt>
                <c:pt idx="2">
                  <c:v>97.785224047500009</c:v>
                </c:pt>
                <c:pt idx="3">
                  <c:v>99.773686578505917</c:v>
                </c:pt>
                <c:pt idx="4">
                  <c:v>100.30697693326802</c:v>
                </c:pt>
                <c:pt idx="5">
                  <c:v>101.0657992137682</c:v>
                </c:pt>
                <c:pt idx="6">
                  <c:v>99.960644699365645</c:v>
                </c:pt>
                <c:pt idx="7">
                  <c:v>106.63601655238929</c:v>
                </c:pt>
                <c:pt idx="8">
                  <c:v>106.67333915818264</c:v>
                </c:pt>
                <c:pt idx="9">
                  <c:v>107.14483531726182</c:v>
                </c:pt>
                <c:pt idx="10">
                  <c:v>108.94058275717914</c:v>
                </c:pt>
                <c:pt idx="11">
                  <c:v>110.35081860097083</c:v>
                </c:pt>
                <c:pt idx="12">
                  <c:v>108.82080450106837</c:v>
                </c:pt>
                <c:pt idx="13">
                  <c:v>112.23396903424438</c:v>
                </c:pt>
                <c:pt idx="14">
                  <c:v>115.25306280126554</c:v>
                </c:pt>
                <c:pt idx="15">
                  <c:v>114.80011826445657</c:v>
                </c:pt>
                <c:pt idx="16">
                  <c:v>117.44166898572172</c:v>
                </c:pt>
                <c:pt idx="17">
                  <c:v>118.38061512926257</c:v>
                </c:pt>
                <c:pt idx="18">
                  <c:v>120.00242955653347</c:v>
                </c:pt>
                <c:pt idx="19">
                  <c:v>121.33925662179324</c:v>
                </c:pt>
                <c:pt idx="20">
                  <c:v>125.54487525630458</c:v>
                </c:pt>
                <c:pt idx="21">
                  <c:v>128.3087456850721</c:v>
                </c:pt>
                <c:pt idx="22">
                  <c:v>130.54709175354816</c:v>
                </c:pt>
                <c:pt idx="23">
                  <c:v>130.4837764140477</c:v>
                </c:pt>
                <c:pt idx="24">
                  <c:v>135.50348729269612</c:v>
                </c:pt>
                <c:pt idx="25">
                  <c:v>137.82195196027413</c:v>
                </c:pt>
                <c:pt idx="26">
                  <c:v>137.23551955468318</c:v>
                </c:pt>
                <c:pt idx="27">
                  <c:v>137.23483337708541</c:v>
                </c:pt>
                <c:pt idx="28">
                  <c:v>141.84386525605481</c:v>
                </c:pt>
                <c:pt idx="29">
                  <c:v>141.55663142891129</c:v>
                </c:pt>
                <c:pt idx="30">
                  <c:v>141.8015244012833</c:v>
                </c:pt>
                <c:pt idx="31">
                  <c:v>144.54183886033812</c:v>
                </c:pt>
                <c:pt idx="32">
                  <c:v>149.1151426418792</c:v>
                </c:pt>
                <c:pt idx="33">
                  <c:v>148.30768414447343</c:v>
                </c:pt>
                <c:pt idx="34">
                  <c:v>147.37557034962541</c:v>
                </c:pt>
                <c:pt idx="35">
                  <c:v>153.15048207377549</c:v>
                </c:pt>
                <c:pt idx="36">
                  <c:v>149.64486753910677</c:v>
                </c:pt>
                <c:pt idx="37">
                  <c:v>154.81434948824523</c:v>
                </c:pt>
                <c:pt idx="38">
                  <c:v>157.2960235105418</c:v>
                </c:pt>
                <c:pt idx="39">
                  <c:v>161.25280498194948</c:v>
                </c:pt>
                <c:pt idx="40">
                  <c:v>164.15454920759967</c:v>
                </c:pt>
                <c:pt idx="41">
                  <c:v>162.20111007202922</c:v>
                </c:pt>
                <c:pt idx="42">
                  <c:v>167.72162485333075</c:v>
                </c:pt>
                <c:pt idx="43">
                  <c:v>171.65553556426562</c:v>
                </c:pt>
                <c:pt idx="44">
                  <c:v>177.23090735939297</c:v>
                </c:pt>
                <c:pt idx="45">
                  <c:v>179.71745698964526</c:v>
                </c:pt>
                <c:pt idx="46">
                  <c:v>179.88099987550584</c:v>
                </c:pt>
                <c:pt idx="47">
                  <c:v>189.36612499894125</c:v>
                </c:pt>
                <c:pt idx="48">
                  <c:v>194.36160337641334</c:v>
                </c:pt>
                <c:pt idx="49">
                  <c:v>199.74250436588935</c:v>
                </c:pt>
                <c:pt idx="50">
                  <c:v>192.58872657202502</c:v>
                </c:pt>
                <c:pt idx="51">
                  <c:v>172.39387270368249</c:v>
                </c:pt>
                <c:pt idx="52">
                  <c:v>191.35461279299702</c:v>
                </c:pt>
                <c:pt idx="53">
                  <c:v>196.87040950675518</c:v>
                </c:pt>
                <c:pt idx="54">
                  <c:v>208.50249765246181</c:v>
                </c:pt>
                <c:pt idx="55">
                  <c:v>215.15789737752837</c:v>
                </c:pt>
                <c:pt idx="56">
                  <c:v>223.09722379075916</c:v>
                </c:pt>
                <c:pt idx="57">
                  <c:v>218.84052876083149</c:v>
                </c:pt>
                <c:pt idx="58">
                  <c:v>217.50231892745902</c:v>
                </c:pt>
                <c:pt idx="59">
                  <c:v>231.52360591711766</c:v>
                </c:pt>
                <c:pt idx="60">
                  <c:v>236.83359981882674</c:v>
                </c:pt>
                <c:pt idx="61">
                  <c:v>238.26170642573427</c:v>
                </c:pt>
                <c:pt idx="62">
                  <c:v>240.42869664567635</c:v>
                </c:pt>
                <c:pt idx="63">
                  <c:v>249.15024761649829</c:v>
                </c:pt>
                <c:pt idx="64">
                  <c:v>253.37708156731216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F13-443D-A64D-A60B9E779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8358336"/>
        <c:axId val="498361600"/>
      </c:lineChart>
      <c:dateAx>
        <c:axId val="4983583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61600"/>
        <c:crosses val="autoZero"/>
        <c:auto val="1"/>
        <c:lblOffset val="100"/>
        <c:baseTimeUnit val="months"/>
      </c:dateAx>
      <c:valAx>
        <c:axId val="498361600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5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Retorno x Risco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Dados!$Y$25</c:f>
              <c:strCache>
                <c:ptCount val="1"/>
                <c:pt idx="0">
                  <c:v>DÓLAR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Dados!$Y$26</c:f>
              <c:numCache>
                <c:formatCode>0.00%</c:formatCode>
                <c:ptCount val="1"/>
                <c:pt idx="0">
                  <c:v>0.16361411984159085</c:v>
                </c:pt>
              </c:numCache>
            </c:numRef>
          </c:xVal>
          <c:yVal>
            <c:numRef>
              <c:f>Dados!$Y$27</c:f>
              <c:numCache>
                <c:formatCode>0.00%</c:formatCode>
                <c:ptCount val="1"/>
                <c:pt idx="0">
                  <c:v>2.5134207044708701E-2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755-4726-9DDA-B0B8D83B553F}"/>
            </c:ext>
          </c:extLst>
        </c:ser>
        <c:ser>
          <c:idx val="1"/>
          <c:order val="1"/>
          <c:tx>
            <c:strRef>
              <c:f>Dados!$Z$25</c:f>
              <c:strCache>
                <c:ptCount val="1"/>
                <c:pt idx="0">
                  <c:v>CDI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Dados!$Z$26</c:f>
              <c:numCache>
                <c:formatCode>0.00%</c:formatCode>
                <c:ptCount val="1"/>
                <c:pt idx="0">
                  <c:v>1.0928305695972045E-2</c:v>
                </c:pt>
              </c:numCache>
            </c:numRef>
          </c:xVal>
          <c:yVal>
            <c:numRef>
              <c:f>Dados!$Z$27</c:f>
              <c:numCache>
                <c:formatCode>0.00%</c:formatCode>
                <c:ptCount val="1"/>
                <c:pt idx="0">
                  <c:v>7.2690336093387486E-2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755-4726-9DDA-B0B8D83B553F}"/>
            </c:ext>
          </c:extLst>
        </c:ser>
        <c:ser>
          <c:idx val="2"/>
          <c:order val="2"/>
          <c:tx>
            <c:strRef>
              <c:f>Dados!$AA$25</c:f>
              <c:strCache>
                <c:ptCount val="1"/>
                <c:pt idx="0">
                  <c:v>IVVB11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Dados!$AA$26</c:f>
              <c:numCache>
                <c:formatCode>0.00%</c:formatCode>
                <c:ptCount val="1"/>
                <c:pt idx="0">
                  <c:v>0.18958046850469998</c:v>
                </c:pt>
              </c:numCache>
            </c:numRef>
          </c:xVal>
          <c:yVal>
            <c:numRef>
              <c:f>Dados!$AA$27</c:f>
              <c:numCache>
                <c:formatCode>0.00%</c:formatCode>
                <c:ptCount val="1"/>
                <c:pt idx="0">
                  <c:v>0.23356360209453553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755-4726-9DDA-B0B8D83B553F}"/>
            </c:ext>
          </c:extLst>
        </c:ser>
        <c:ser>
          <c:idx val="3"/>
          <c:order val="3"/>
          <c:tx>
            <c:strRef>
              <c:f>Dados!$AB$25</c:f>
              <c:strCache>
                <c:ptCount val="1"/>
                <c:pt idx="0">
                  <c:v>BOVA11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Dados!$AB$26</c:f>
              <c:numCache>
                <c:formatCode>0.00%</c:formatCode>
                <c:ptCount val="1"/>
                <c:pt idx="0">
                  <c:v>0.25261120647076479</c:v>
                </c:pt>
              </c:numCache>
            </c:numRef>
          </c:xVal>
          <c:yVal>
            <c:numRef>
              <c:f>Dados!$AB$27</c:f>
              <c:numCache>
                <c:formatCode>0.00%</c:formatCode>
                <c:ptCount val="1"/>
                <c:pt idx="0">
                  <c:v>0.25601543958970918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755-4726-9DDA-B0B8D83B553F}"/>
            </c:ext>
          </c:extLst>
        </c:ser>
        <c:ser>
          <c:idx val="4"/>
          <c:order val="4"/>
          <c:tx>
            <c:strRef>
              <c:f>Dados!$AC$25</c:f>
              <c:strCache>
                <c:ptCount val="1"/>
                <c:pt idx="0">
                  <c:v>SMAL11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Dados!$AC$26</c:f>
              <c:numCache>
                <c:formatCode>0.00%</c:formatCode>
                <c:ptCount val="1"/>
                <c:pt idx="0">
                  <c:v>0.27495051334460446</c:v>
                </c:pt>
              </c:numCache>
            </c:numRef>
          </c:xVal>
          <c:yVal>
            <c:numRef>
              <c:f>Dados!$AC$27</c:f>
              <c:numCache>
                <c:formatCode>0.00%</c:formatCode>
                <c:ptCount val="1"/>
                <c:pt idx="0">
                  <c:v>0.31876947439957104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755-4726-9DDA-B0B8D83B553F}"/>
            </c:ext>
          </c:extLst>
        </c:ser>
        <c:ser>
          <c:idx val="5"/>
          <c:order val="5"/>
          <c:tx>
            <c:strRef>
              <c:f>Dados!$AD$25</c:f>
              <c:strCache>
                <c:ptCount val="1"/>
                <c:pt idx="0">
                  <c:v>Conservadora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Dados!$AD$26</c:f>
              <c:numCache>
                <c:formatCode>0.00%</c:formatCode>
                <c:ptCount val="1"/>
                <c:pt idx="0">
                  <c:v>1.6421044009019458E-2</c:v>
                </c:pt>
              </c:numCache>
            </c:numRef>
          </c:xVal>
          <c:yVal>
            <c:numRef>
              <c:f>Dados!$AD$27</c:f>
              <c:numCache>
                <c:formatCode>0.00%</c:formatCode>
                <c:ptCount val="1"/>
                <c:pt idx="0">
                  <c:v>8.8857542850517834E-2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755-4726-9DDA-B0B8D83B553F}"/>
            </c:ext>
          </c:extLst>
        </c:ser>
        <c:ser>
          <c:idx val="6"/>
          <c:order val="6"/>
          <c:tx>
            <c:strRef>
              <c:f>Dados!$AE$25</c:f>
              <c:strCache>
                <c:ptCount val="1"/>
                <c:pt idx="0">
                  <c:v>Moderada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Dados!$AE$26</c:f>
              <c:numCache>
                <c:formatCode>0.00%</c:formatCode>
                <c:ptCount val="1"/>
                <c:pt idx="0">
                  <c:v>7.4695573126280113E-2</c:v>
                </c:pt>
              </c:numCache>
            </c:numRef>
          </c:xVal>
          <c:yVal>
            <c:numRef>
              <c:f>Dados!$AE$27</c:f>
              <c:numCache>
                <c:formatCode>0.00%</c:formatCode>
                <c:ptCount val="1"/>
                <c:pt idx="0">
                  <c:v>0.15469162149565263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755-4726-9DDA-B0B8D83B553F}"/>
            </c:ext>
          </c:extLst>
        </c:ser>
        <c:ser>
          <c:idx val="7"/>
          <c:order val="7"/>
          <c:tx>
            <c:strRef>
              <c:f>Dados!$AF$25</c:f>
              <c:strCache>
                <c:ptCount val="1"/>
                <c:pt idx="0">
                  <c:v>Agressiva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xVal>
            <c:numRef>
              <c:f>Dados!$AF$26</c:f>
              <c:numCache>
                <c:formatCode>0.00%</c:formatCode>
                <c:ptCount val="1"/>
                <c:pt idx="0">
                  <c:v>9.925293597817883E-2</c:v>
                </c:pt>
              </c:numCache>
            </c:numRef>
          </c:xVal>
          <c:yVal>
            <c:numRef>
              <c:f>Dados!$AF$27</c:f>
              <c:numCache>
                <c:formatCode>0.00%</c:formatCode>
                <c:ptCount val="1"/>
                <c:pt idx="0">
                  <c:v>0.19454106501432378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755-4726-9DDA-B0B8D83B553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498351264"/>
        <c:axId val="498359424"/>
      </c:scatterChart>
      <c:valAx>
        <c:axId val="49835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Risco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59424"/>
        <c:crosses val="autoZero"/>
        <c:crossBetween val="midCat"/>
      </c:valAx>
      <c:valAx>
        <c:axId val="4983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Retorno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835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Índice de Sharpe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A541-4DD7-B21C-03912FEB032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541-4DD7-B21C-03912FEB032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A541-4DD7-B21C-03912FEB032E}"/>
              </c:ext>
            </c:extLst>
          </c:dPt>
          <c:cat>
            <c:strRef>
              <c:f>Dados!$Y$4:$AF$4</c:f>
              <c:strCache>
                <c:ptCount val="8"/>
                <c:pt idx="0">
                  <c:v>DÓLAR</c:v>
                </c:pt>
                <c:pt idx="1">
                  <c:v>CDI</c:v>
                </c:pt>
                <c:pt idx="2">
                  <c:v>IVVB11</c:v>
                </c:pt>
                <c:pt idx="3">
                  <c:v>BOVA11</c:v>
                </c:pt>
                <c:pt idx="4">
                  <c:v>SMAL11</c:v>
                </c:pt>
                <c:pt idx="5">
                  <c:v>Conservadora</c:v>
                </c:pt>
                <c:pt idx="6">
                  <c:v>Moderada</c:v>
                </c:pt>
                <c:pt idx="7">
                  <c:v>Agressiva</c:v>
                </c:pt>
              </c:strCache>
            </c:strRef>
          </c:cat>
          <c:val>
            <c:numRef>
              <c:f>Dados!$Y$9:$AF$9</c:f>
              <c:numCache>
                <c:formatCode>0.00</c:formatCode>
                <c:ptCount val="8"/>
                <c:pt idx="0">
                  <c:v>-0.3721615409147141</c:v>
                </c:pt>
                <c:pt idx="1">
                  <c:v>0</c:v>
                </c:pt>
                <c:pt idx="2">
                  <c:v>0.73792636184185556</c:v>
                </c:pt>
                <c:pt idx="3">
                  <c:v>0.5656423170762932</c:v>
                </c:pt>
                <c:pt idx="4">
                  <c:v>0.70511281188018005</c:v>
                </c:pt>
                <c:pt idx="5">
                  <c:v>0.9796343249321191</c:v>
                </c:pt>
                <c:pt idx="6">
                  <c:v>1.0563703425975284</c:v>
                </c:pt>
                <c:pt idx="7">
                  <c:v>1.1709497092410266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541-4DD7-B21C-03912FEB0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7882976"/>
        <c:axId val="505370624"/>
      </c:barChart>
      <c:catAx>
        <c:axId val="49788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70624"/>
        <c:crosses val="autoZero"/>
        <c:auto val="1"/>
        <c:lblAlgn val="ctr"/>
        <c:lblOffset val="100"/>
        <c:noMultiLvlLbl val="0"/>
      </c:catAx>
      <c:valAx>
        <c:axId val="50537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78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Risco</a:t>
            </a:r>
            <a:r>
              <a:rPr lang="pt-BR" baseline="0"/>
              <a:t> das carteiras nos últimos 12 meses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Dados!$BN$4</c:f>
              <c:strCache>
                <c:ptCount val="1"/>
                <c:pt idx="0">
                  <c:v>Conservadora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Dados!$BH$5:$BH$65</c:f>
              <c:numCache>
                <c:formatCode>m/d/yyyy</c:formatCode>
                <c:ptCount val="61"/>
                <c:pt idx="0">
                  <c:v>42705</c:v>
                </c:pt>
                <c:pt idx="1">
                  <c:v>42737</c:v>
                </c:pt>
                <c:pt idx="2">
                  <c:v>42767</c:v>
                </c:pt>
                <c:pt idx="3">
                  <c:v>42795</c:v>
                </c:pt>
                <c:pt idx="4">
                  <c:v>42828</c:v>
                </c:pt>
                <c:pt idx="5">
                  <c:v>42857</c:v>
                </c:pt>
                <c:pt idx="6">
                  <c:v>42887</c:v>
                </c:pt>
                <c:pt idx="7">
                  <c:v>42919</c:v>
                </c:pt>
                <c:pt idx="8">
                  <c:v>42948</c:v>
                </c:pt>
                <c:pt idx="9">
                  <c:v>42979</c:v>
                </c:pt>
                <c:pt idx="10">
                  <c:v>43010</c:v>
                </c:pt>
                <c:pt idx="11">
                  <c:v>43040</c:v>
                </c:pt>
                <c:pt idx="12">
                  <c:v>43070</c:v>
                </c:pt>
                <c:pt idx="13">
                  <c:v>43102</c:v>
                </c:pt>
                <c:pt idx="14">
                  <c:v>43132</c:v>
                </c:pt>
                <c:pt idx="15">
                  <c:v>43160</c:v>
                </c:pt>
                <c:pt idx="16">
                  <c:v>43192</c:v>
                </c:pt>
                <c:pt idx="17">
                  <c:v>43222</c:v>
                </c:pt>
                <c:pt idx="18">
                  <c:v>43252</c:v>
                </c:pt>
                <c:pt idx="19">
                  <c:v>43283</c:v>
                </c:pt>
                <c:pt idx="20">
                  <c:v>43313</c:v>
                </c:pt>
                <c:pt idx="21">
                  <c:v>43346</c:v>
                </c:pt>
                <c:pt idx="22">
                  <c:v>43374</c:v>
                </c:pt>
                <c:pt idx="23">
                  <c:v>43405</c:v>
                </c:pt>
                <c:pt idx="24">
                  <c:v>43437</c:v>
                </c:pt>
                <c:pt idx="25">
                  <c:v>43467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43587</c:v>
                </c:pt>
                <c:pt idx="30">
                  <c:v>43619</c:v>
                </c:pt>
                <c:pt idx="31">
                  <c:v>43647</c:v>
                </c:pt>
                <c:pt idx="32">
                  <c:v>43678</c:v>
                </c:pt>
                <c:pt idx="33">
                  <c:v>43710</c:v>
                </c:pt>
                <c:pt idx="34">
                  <c:v>43739</c:v>
                </c:pt>
                <c:pt idx="35">
                  <c:v>43770</c:v>
                </c:pt>
                <c:pt idx="36">
                  <c:v>43801</c:v>
                </c:pt>
                <c:pt idx="37">
                  <c:v>43832</c:v>
                </c:pt>
                <c:pt idx="38">
                  <c:v>43864</c:v>
                </c:pt>
                <c:pt idx="39">
                  <c:v>43892</c:v>
                </c:pt>
                <c:pt idx="40">
                  <c:v>43922</c:v>
                </c:pt>
                <c:pt idx="41">
                  <c:v>43955</c:v>
                </c:pt>
                <c:pt idx="42">
                  <c:v>43983</c:v>
                </c:pt>
                <c:pt idx="43">
                  <c:v>44013</c:v>
                </c:pt>
                <c:pt idx="44">
                  <c:v>44046</c:v>
                </c:pt>
                <c:pt idx="45">
                  <c:v>44075</c:v>
                </c:pt>
                <c:pt idx="46">
                  <c:v>44105</c:v>
                </c:pt>
                <c:pt idx="47">
                  <c:v>44138</c:v>
                </c:pt>
                <c:pt idx="48">
                  <c:v>44166</c:v>
                </c:pt>
                <c:pt idx="49">
                  <c:v>44200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44319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</c:numCache>
            </c:numRef>
          </c:cat>
          <c:val>
            <c:numRef>
              <c:f>Dados!$BN$5:$BN$65</c:f>
              <c:numCache>
                <c:formatCode>0.00%</c:formatCode>
                <c:ptCount val="61"/>
                <c:pt idx="0">
                  <c:v>1.4117480138273443E-2</c:v>
                </c:pt>
                <c:pt idx="1">
                  <c:v>1.1438544885207607E-2</c:v>
                </c:pt>
                <c:pt idx="2">
                  <c:v>1.142838173543871E-2</c:v>
                </c:pt>
                <c:pt idx="3">
                  <c:v>1.106527851598701E-2</c:v>
                </c:pt>
                <c:pt idx="4">
                  <c:v>1.1219151645127347E-2</c:v>
                </c:pt>
                <c:pt idx="5">
                  <c:v>1.1260913393439514E-2</c:v>
                </c:pt>
                <c:pt idx="6">
                  <c:v>1.1004538733053409E-2</c:v>
                </c:pt>
                <c:pt idx="7">
                  <c:v>7.4591304635813465E-3</c:v>
                </c:pt>
                <c:pt idx="8">
                  <c:v>7.6093320397331264E-3</c:v>
                </c:pt>
                <c:pt idx="9">
                  <c:v>7.595572274807093E-3</c:v>
                </c:pt>
                <c:pt idx="10">
                  <c:v>6.2044060590401833E-3</c:v>
                </c:pt>
                <c:pt idx="11">
                  <c:v>6.9926188357308725E-3</c:v>
                </c:pt>
                <c:pt idx="12">
                  <c:v>6.7725596074426422E-3</c:v>
                </c:pt>
                <c:pt idx="13">
                  <c:v>6.2978199691350626E-3</c:v>
                </c:pt>
                <c:pt idx="14">
                  <c:v>7.9687412032037001E-3</c:v>
                </c:pt>
                <c:pt idx="15">
                  <c:v>8.9978194328100697E-3</c:v>
                </c:pt>
                <c:pt idx="16">
                  <c:v>8.9473612158710077E-3</c:v>
                </c:pt>
                <c:pt idx="17">
                  <c:v>9.7229550315454279E-3</c:v>
                </c:pt>
                <c:pt idx="18">
                  <c:v>1.0285082202349713E-2</c:v>
                </c:pt>
                <c:pt idx="19">
                  <c:v>1.051796936416222E-2</c:v>
                </c:pt>
                <c:pt idx="20">
                  <c:v>9.9521902568776681E-3</c:v>
                </c:pt>
                <c:pt idx="21">
                  <c:v>9.8255227711950624E-3</c:v>
                </c:pt>
                <c:pt idx="22">
                  <c:v>1.0439094679485977E-2</c:v>
                </c:pt>
                <c:pt idx="23">
                  <c:v>1.0469616646624297E-2</c:v>
                </c:pt>
                <c:pt idx="24">
                  <c:v>1.2463423942225358E-2</c:v>
                </c:pt>
                <c:pt idx="25">
                  <c:v>1.252905532243861E-2</c:v>
                </c:pt>
                <c:pt idx="26">
                  <c:v>1.2277366833471909E-2</c:v>
                </c:pt>
                <c:pt idx="27">
                  <c:v>1.2146364963155921E-2</c:v>
                </c:pt>
                <c:pt idx="28">
                  <c:v>1.1995208134159994E-2</c:v>
                </c:pt>
                <c:pt idx="29">
                  <c:v>1.2575780022798518E-2</c:v>
                </c:pt>
                <c:pt idx="30">
                  <c:v>1.2471945517841242E-2</c:v>
                </c:pt>
                <c:pt idx="31">
                  <c:v>1.2034032045525209E-2</c:v>
                </c:pt>
                <c:pt idx="32">
                  <c:v>1.1533061960373682E-2</c:v>
                </c:pt>
                <c:pt idx="33">
                  <c:v>1.1569326510609467E-2</c:v>
                </c:pt>
                <c:pt idx="34">
                  <c:v>1.1151804073373463E-2</c:v>
                </c:pt>
                <c:pt idx="35">
                  <c:v>1.1310865552443568E-2</c:v>
                </c:pt>
                <c:pt idx="36">
                  <c:v>8.1216796012558001E-3</c:v>
                </c:pt>
                <c:pt idx="37">
                  <c:v>6.5398184225557822E-3</c:v>
                </c:pt>
                <c:pt idx="38">
                  <c:v>1.1765304539581233E-2</c:v>
                </c:pt>
                <c:pt idx="39">
                  <c:v>2.040937017423838E-2</c:v>
                </c:pt>
                <c:pt idx="40">
                  <c:v>2.4173883541014782E-2</c:v>
                </c:pt>
                <c:pt idx="41">
                  <c:v>2.4184892166203859E-2</c:v>
                </c:pt>
                <c:pt idx="42">
                  <c:v>2.4176148275822297E-2</c:v>
                </c:pt>
                <c:pt idx="43">
                  <c:v>2.4187722045022609E-2</c:v>
                </c:pt>
                <c:pt idx="44">
                  <c:v>2.4078416353467042E-2</c:v>
                </c:pt>
                <c:pt idx="45">
                  <c:v>2.4930643201781726E-2</c:v>
                </c:pt>
                <c:pt idx="46">
                  <c:v>2.5186443819497965E-2</c:v>
                </c:pt>
                <c:pt idx="47">
                  <c:v>2.5665385426502155E-2</c:v>
                </c:pt>
                <c:pt idx="48">
                  <c:v>2.5718398923374262E-2</c:v>
                </c:pt>
                <c:pt idx="49">
                  <c:v>2.5785272575991551E-2</c:v>
                </c:pt>
                <c:pt idx="50">
                  <c:v>2.4679113730955875E-2</c:v>
                </c:pt>
                <c:pt idx="51">
                  <c:v>1.7629745202613983E-2</c:v>
                </c:pt>
                <c:pt idx="52">
                  <c:v>1.2925310968652307E-2</c:v>
                </c:pt>
                <c:pt idx="53">
                  <c:v>1.2488480146264247E-2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44-4EAF-A221-EF0F036993BC}"/>
            </c:ext>
          </c:extLst>
        </c:ser>
        <c:ser>
          <c:idx val="1"/>
          <c:order val="1"/>
          <c:tx>
            <c:strRef>
              <c:f>Dados!$BO$4</c:f>
              <c:strCache>
                <c:ptCount val="1"/>
                <c:pt idx="0">
                  <c:v>Moderada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Dados!$BH$5:$BH$65</c:f>
              <c:numCache>
                <c:formatCode>m/d/yyyy</c:formatCode>
                <c:ptCount val="61"/>
                <c:pt idx="0">
                  <c:v>42705</c:v>
                </c:pt>
                <c:pt idx="1">
                  <c:v>42737</c:v>
                </c:pt>
                <c:pt idx="2">
                  <c:v>42767</c:v>
                </c:pt>
                <c:pt idx="3">
                  <c:v>42795</c:v>
                </c:pt>
                <c:pt idx="4">
                  <c:v>42828</c:v>
                </c:pt>
                <c:pt idx="5">
                  <c:v>42857</c:v>
                </c:pt>
                <c:pt idx="6">
                  <c:v>42887</c:v>
                </c:pt>
                <c:pt idx="7">
                  <c:v>42919</c:v>
                </c:pt>
                <c:pt idx="8">
                  <c:v>42948</c:v>
                </c:pt>
                <c:pt idx="9">
                  <c:v>42979</c:v>
                </c:pt>
                <c:pt idx="10">
                  <c:v>43010</c:v>
                </c:pt>
                <c:pt idx="11">
                  <c:v>43040</c:v>
                </c:pt>
                <c:pt idx="12">
                  <c:v>43070</c:v>
                </c:pt>
                <c:pt idx="13">
                  <c:v>43102</c:v>
                </c:pt>
                <c:pt idx="14">
                  <c:v>43132</c:v>
                </c:pt>
                <c:pt idx="15">
                  <c:v>43160</c:v>
                </c:pt>
                <c:pt idx="16">
                  <c:v>43192</c:v>
                </c:pt>
                <c:pt idx="17">
                  <c:v>43222</c:v>
                </c:pt>
                <c:pt idx="18">
                  <c:v>43252</c:v>
                </c:pt>
                <c:pt idx="19">
                  <c:v>43283</c:v>
                </c:pt>
                <c:pt idx="20">
                  <c:v>43313</c:v>
                </c:pt>
                <c:pt idx="21">
                  <c:v>43346</c:v>
                </c:pt>
                <c:pt idx="22">
                  <c:v>43374</c:v>
                </c:pt>
                <c:pt idx="23">
                  <c:v>43405</c:v>
                </c:pt>
                <c:pt idx="24">
                  <c:v>43437</c:v>
                </c:pt>
                <c:pt idx="25">
                  <c:v>43467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43587</c:v>
                </c:pt>
                <c:pt idx="30">
                  <c:v>43619</c:v>
                </c:pt>
                <c:pt idx="31">
                  <c:v>43647</c:v>
                </c:pt>
                <c:pt idx="32">
                  <c:v>43678</c:v>
                </c:pt>
                <c:pt idx="33">
                  <c:v>43710</c:v>
                </c:pt>
                <c:pt idx="34">
                  <c:v>43739</c:v>
                </c:pt>
                <c:pt idx="35">
                  <c:v>43770</c:v>
                </c:pt>
                <c:pt idx="36">
                  <c:v>43801</c:v>
                </c:pt>
                <c:pt idx="37">
                  <c:v>43832</c:v>
                </c:pt>
                <c:pt idx="38">
                  <c:v>43864</c:v>
                </c:pt>
                <c:pt idx="39">
                  <c:v>43892</c:v>
                </c:pt>
                <c:pt idx="40">
                  <c:v>43922</c:v>
                </c:pt>
                <c:pt idx="41">
                  <c:v>43955</c:v>
                </c:pt>
                <c:pt idx="42">
                  <c:v>43983</c:v>
                </c:pt>
                <c:pt idx="43">
                  <c:v>44013</c:v>
                </c:pt>
                <c:pt idx="44">
                  <c:v>44046</c:v>
                </c:pt>
                <c:pt idx="45">
                  <c:v>44075</c:v>
                </c:pt>
                <c:pt idx="46">
                  <c:v>44105</c:v>
                </c:pt>
                <c:pt idx="47">
                  <c:v>44138</c:v>
                </c:pt>
                <c:pt idx="48">
                  <c:v>44166</c:v>
                </c:pt>
                <c:pt idx="49">
                  <c:v>44200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44319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</c:numCache>
            </c:numRef>
          </c:cat>
          <c:val>
            <c:numRef>
              <c:f>Dados!$BO$5:$BO$65</c:f>
              <c:numCache>
                <c:formatCode>0.00%</c:formatCode>
                <c:ptCount val="61"/>
                <c:pt idx="0">
                  <c:v>7.2483123553003681E-2</c:v>
                </c:pt>
                <c:pt idx="1">
                  <c:v>6.0547123571043998E-2</c:v>
                </c:pt>
                <c:pt idx="2">
                  <c:v>6.0360309957635368E-2</c:v>
                </c:pt>
                <c:pt idx="3">
                  <c:v>5.8562612569019575E-2</c:v>
                </c:pt>
                <c:pt idx="4">
                  <c:v>5.8545792547372688E-2</c:v>
                </c:pt>
                <c:pt idx="5">
                  <c:v>5.668267524321053E-2</c:v>
                </c:pt>
                <c:pt idx="6">
                  <c:v>5.628267008833826E-2</c:v>
                </c:pt>
                <c:pt idx="7">
                  <c:v>3.7796235111930976E-2</c:v>
                </c:pt>
                <c:pt idx="8">
                  <c:v>4.1545110723164524E-2</c:v>
                </c:pt>
                <c:pt idx="9">
                  <c:v>4.1637387564325147E-2</c:v>
                </c:pt>
                <c:pt idx="10">
                  <c:v>3.92013270879258E-2</c:v>
                </c:pt>
                <c:pt idx="11">
                  <c:v>4.1228295336620889E-2</c:v>
                </c:pt>
                <c:pt idx="12">
                  <c:v>3.9264890863791473E-2</c:v>
                </c:pt>
                <c:pt idx="13">
                  <c:v>3.7891214950889936E-2</c:v>
                </c:pt>
                <c:pt idx="14">
                  <c:v>3.9629600593266361E-2</c:v>
                </c:pt>
                <c:pt idx="15">
                  <c:v>3.8480618114247397E-2</c:v>
                </c:pt>
                <c:pt idx="16">
                  <c:v>3.9042004972500155E-2</c:v>
                </c:pt>
                <c:pt idx="17">
                  <c:v>4.6001125974361665E-2</c:v>
                </c:pt>
                <c:pt idx="18">
                  <c:v>4.8604263187502383E-2</c:v>
                </c:pt>
                <c:pt idx="19">
                  <c:v>4.9891420195168915E-2</c:v>
                </c:pt>
                <c:pt idx="20">
                  <c:v>4.6120448900874557E-2</c:v>
                </c:pt>
                <c:pt idx="21">
                  <c:v>4.5559494844154544E-2</c:v>
                </c:pt>
                <c:pt idx="22">
                  <c:v>4.5538953430502266E-2</c:v>
                </c:pt>
                <c:pt idx="23">
                  <c:v>4.6261142220501365E-2</c:v>
                </c:pt>
                <c:pt idx="24">
                  <c:v>4.7222762904807203E-2</c:v>
                </c:pt>
                <c:pt idx="25">
                  <c:v>5.1168464253785344E-2</c:v>
                </c:pt>
                <c:pt idx="26">
                  <c:v>5.043322036028524E-2</c:v>
                </c:pt>
                <c:pt idx="27">
                  <c:v>5.0016989386334781E-2</c:v>
                </c:pt>
                <c:pt idx="28">
                  <c:v>4.8978620196608598E-2</c:v>
                </c:pt>
                <c:pt idx="29">
                  <c:v>4.4937237519779641E-2</c:v>
                </c:pt>
                <c:pt idx="30">
                  <c:v>4.3976204180112097E-2</c:v>
                </c:pt>
                <c:pt idx="31">
                  <c:v>4.2746809343983901E-2</c:v>
                </c:pt>
                <c:pt idx="32">
                  <c:v>4.3083396585734006E-2</c:v>
                </c:pt>
                <c:pt idx="33">
                  <c:v>4.1951148754452279E-2</c:v>
                </c:pt>
                <c:pt idx="34">
                  <c:v>4.2698214647581098E-2</c:v>
                </c:pt>
                <c:pt idx="35">
                  <c:v>4.4238682040001635E-2</c:v>
                </c:pt>
                <c:pt idx="36">
                  <c:v>3.5575919843726773E-2</c:v>
                </c:pt>
                <c:pt idx="37">
                  <c:v>3.0168236004718001E-2</c:v>
                </c:pt>
                <c:pt idx="38">
                  <c:v>5.0402991501226659E-2</c:v>
                </c:pt>
                <c:pt idx="39">
                  <c:v>0.11288824122475369</c:v>
                </c:pt>
                <c:pt idx="40">
                  <c:v>0.13158047637714482</c:v>
                </c:pt>
                <c:pt idx="41">
                  <c:v>0.13233242242549631</c:v>
                </c:pt>
                <c:pt idx="42">
                  <c:v>0.13551554297805238</c:v>
                </c:pt>
                <c:pt idx="43">
                  <c:v>0.13640461742384474</c:v>
                </c:pt>
                <c:pt idx="44">
                  <c:v>0.13631073241111477</c:v>
                </c:pt>
                <c:pt idx="45">
                  <c:v>0.13897855138637233</c:v>
                </c:pt>
                <c:pt idx="46">
                  <c:v>0.13951160759788214</c:v>
                </c:pt>
                <c:pt idx="47">
                  <c:v>0.1450275117160377</c:v>
                </c:pt>
                <c:pt idx="48">
                  <c:v>0.14509443153903723</c:v>
                </c:pt>
                <c:pt idx="49">
                  <c:v>0.14557634257729452</c:v>
                </c:pt>
                <c:pt idx="50">
                  <c:v>0.14074784128007076</c:v>
                </c:pt>
                <c:pt idx="51">
                  <c:v>8.6066730492840679E-2</c:v>
                </c:pt>
                <c:pt idx="52">
                  <c:v>6.8291790934862068E-2</c:v>
                </c:pt>
                <c:pt idx="53">
                  <c:v>6.7622754978698491E-2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644-4EAF-A221-EF0F036993BC}"/>
            </c:ext>
          </c:extLst>
        </c:ser>
        <c:ser>
          <c:idx val="2"/>
          <c:order val="2"/>
          <c:tx>
            <c:strRef>
              <c:f>Dados!$BP$4</c:f>
              <c:strCache>
                <c:ptCount val="1"/>
                <c:pt idx="0">
                  <c:v>Agressiva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Dados!$BH$5:$BH$65</c:f>
              <c:numCache>
                <c:formatCode>m/d/yyyy</c:formatCode>
                <c:ptCount val="61"/>
                <c:pt idx="0">
                  <c:v>42705</c:v>
                </c:pt>
                <c:pt idx="1">
                  <c:v>42737</c:v>
                </c:pt>
                <c:pt idx="2">
                  <c:v>42767</c:v>
                </c:pt>
                <c:pt idx="3">
                  <c:v>42795</c:v>
                </c:pt>
                <c:pt idx="4">
                  <c:v>42828</c:v>
                </c:pt>
                <c:pt idx="5">
                  <c:v>42857</c:v>
                </c:pt>
                <c:pt idx="6">
                  <c:v>42887</c:v>
                </c:pt>
                <c:pt idx="7">
                  <c:v>42919</c:v>
                </c:pt>
                <c:pt idx="8">
                  <c:v>42948</c:v>
                </c:pt>
                <c:pt idx="9">
                  <c:v>42979</c:v>
                </c:pt>
                <c:pt idx="10">
                  <c:v>43010</c:v>
                </c:pt>
                <c:pt idx="11">
                  <c:v>43040</c:v>
                </c:pt>
                <c:pt idx="12">
                  <c:v>43070</c:v>
                </c:pt>
                <c:pt idx="13">
                  <c:v>43102</c:v>
                </c:pt>
                <c:pt idx="14">
                  <c:v>43132</c:v>
                </c:pt>
                <c:pt idx="15">
                  <c:v>43160</c:v>
                </c:pt>
                <c:pt idx="16">
                  <c:v>43192</c:v>
                </c:pt>
                <c:pt idx="17">
                  <c:v>43222</c:v>
                </c:pt>
                <c:pt idx="18">
                  <c:v>43252</c:v>
                </c:pt>
                <c:pt idx="19">
                  <c:v>43283</c:v>
                </c:pt>
                <c:pt idx="20">
                  <c:v>43313</c:v>
                </c:pt>
                <c:pt idx="21">
                  <c:v>43346</c:v>
                </c:pt>
                <c:pt idx="22">
                  <c:v>43374</c:v>
                </c:pt>
                <c:pt idx="23">
                  <c:v>43405</c:v>
                </c:pt>
                <c:pt idx="24">
                  <c:v>43437</c:v>
                </c:pt>
                <c:pt idx="25">
                  <c:v>43467</c:v>
                </c:pt>
                <c:pt idx="26">
                  <c:v>43497</c:v>
                </c:pt>
                <c:pt idx="27">
                  <c:v>43525</c:v>
                </c:pt>
                <c:pt idx="28">
                  <c:v>43556</c:v>
                </c:pt>
                <c:pt idx="29">
                  <c:v>43587</c:v>
                </c:pt>
                <c:pt idx="30">
                  <c:v>43619</c:v>
                </c:pt>
                <c:pt idx="31">
                  <c:v>43647</c:v>
                </c:pt>
                <c:pt idx="32">
                  <c:v>43678</c:v>
                </c:pt>
                <c:pt idx="33">
                  <c:v>43710</c:v>
                </c:pt>
                <c:pt idx="34">
                  <c:v>43739</c:v>
                </c:pt>
                <c:pt idx="35">
                  <c:v>43770</c:v>
                </c:pt>
                <c:pt idx="36">
                  <c:v>43801</c:v>
                </c:pt>
                <c:pt idx="37">
                  <c:v>43832</c:v>
                </c:pt>
                <c:pt idx="38">
                  <c:v>43864</c:v>
                </c:pt>
                <c:pt idx="39">
                  <c:v>43892</c:v>
                </c:pt>
                <c:pt idx="40">
                  <c:v>43922</c:v>
                </c:pt>
                <c:pt idx="41">
                  <c:v>43955</c:v>
                </c:pt>
                <c:pt idx="42">
                  <c:v>43983</c:v>
                </c:pt>
                <c:pt idx="43">
                  <c:v>44013</c:v>
                </c:pt>
                <c:pt idx="44">
                  <c:v>44046</c:v>
                </c:pt>
                <c:pt idx="45">
                  <c:v>44075</c:v>
                </c:pt>
                <c:pt idx="46">
                  <c:v>44105</c:v>
                </c:pt>
                <c:pt idx="47">
                  <c:v>44138</c:v>
                </c:pt>
                <c:pt idx="48">
                  <c:v>44166</c:v>
                </c:pt>
                <c:pt idx="49">
                  <c:v>44200</c:v>
                </c:pt>
                <c:pt idx="50">
                  <c:v>44228</c:v>
                </c:pt>
                <c:pt idx="51">
                  <c:v>44256</c:v>
                </c:pt>
                <c:pt idx="52">
                  <c:v>44287</c:v>
                </c:pt>
                <c:pt idx="53">
                  <c:v>44319</c:v>
                </c:pt>
                <c:pt idx="54">
                  <c:v>44348</c:v>
                </c:pt>
                <c:pt idx="55">
                  <c:v>44378</c:v>
                </c:pt>
                <c:pt idx="56">
                  <c:v>44409</c:v>
                </c:pt>
                <c:pt idx="57">
                  <c:v>44440</c:v>
                </c:pt>
                <c:pt idx="58">
                  <c:v>44470</c:v>
                </c:pt>
                <c:pt idx="59">
                  <c:v>44501</c:v>
                </c:pt>
                <c:pt idx="60">
                  <c:v>44531</c:v>
                </c:pt>
              </c:numCache>
            </c:numRef>
          </c:cat>
          <c:val>
            <c:numRef>
              <c:f>Dados!$BP$5:$BP$65</c:f>
              <c:numCache>
                <c:formatCode>0.00%</c:formatCode>
                <c:ptCount val="61"/>
                <c:pt idx="0">
                  <c:v>9.1206378764167179E-2</c:v>
                </c:pt>
                <c:pt idx="1">
                  <c:v>7.3987219780912772E-2</c:v>
                </c:pt>
                <c:pt idx="2">
                  <c:v>7.4554487502887304E-2</c:v>
                </c:pt>
                <c:pt idx="3">
                  <c:v>7.6233988482828294E-2</c:v>
                </c:pt>
                <c:pt idx="4">
                  <c:v>7.6603792141476543E-2</c:v>
                </c:pt>
                <c:pt idx="5">
                  <c:v>7.6568971566935512E-2</c:v>
                </c:pt>
                <c:pt idx="6">
                  <c:v>7.1813994521199742E-2</c:v>
                </c:pt>
                <c:pt idx="7">
                  <c:v>4.5079972473170582E-2</c:v>
                </c:pt>
                <c:pt idx="8">
                  <c:v>4.9190330165777306E-2</c:v>
                </c:pt>
                <c:pt idx="9">
                  <c:v>4.8690681650039092E-2</c:v>
                </c:pt>
                <c:pt idx="10">
                  <c:v>4.8719056379875163E-2</c:v>
                </c:pt>
                <c:pt idx="11">
                  <c:v>5.1209178243393404E-2</c:v>
                </c:pt>
                <c:pt idx="12">
                  <c:v>4.6486550034293868E-2</c:v>
                </c:pt>
                <c:pt idx="13">
                  <c:v>4.4326269145548838E-2</c:v>
                </c:pt>
                <c:pt idx="14">
                  <c:v>4.7805149090296262E-2</c:v>
                </c:pt>
                <c:pt idx="15">
                  <c:v>4.6269410865259368E-2</c:v>
                </c:pt>
                <c:pt idx="16">
                  <c:v>4.9355479639595683E-2</c:v>
                </c:pt>
                <c:pt idx="17">
                  <c:v>5.2059859667851219E-2</c:v>
                </c:pt>
                <c:pt idx="18">
                  <c:v>5.3762534669515971E-2</c:v>
                </c:pt>
                <c:pt idx="19">
                  <c:v>5.3891268562474247E-2</c:v>
                </c:pt>
                <c:pt idx="20">
                  <c:v>5.2749534681273802E-2</c:v>
                </c:pt>
                <c:pt idx="21">
                  <c:v>5.5568957652141121E-2</c:v>
                </c:pt>
                <c:pt idx="22">
                  <c:v>5.8159873936964784E-2</c:v>
                </c:pt>
                <c:pt idx="23">
                  <c:v>6.3437554693214229E-2</c:v>
                </c:pt>
                <c:pt idx="24">
                  <c:v>6.6770546582374843E-2</c:v>
                </c:pt>
                <c:pt idx="25">
                  <c:v>7.1349565632238376E-2</c:v>
                </c:pt>
                <c:pt idx="26">
                  <c:v>6.9817846116617163E-2</c:v>
                </c:pt>
                <c:pt idx="27">
                  <c:v>6.9781800180015688E-2</c:v>
                </c:pt>
                <c:pt idx="28">
                  <c:v>6.6608398255639037E-2</c:v>
                </c:pt>
                <c:pt idx="29">
                  <c:v>6.9608395049474012E-2</c:v>
                </c:pt>
                <c:pt idx="30">
                  <c:v>7.2067797625190791E-2</c:v>
                </c:pt>
                <c:pt idx="31">
                  <c:v>7.2499926457642944E-2</c:v>
                </c:pt>
                <c:pt idx="32">
                  <c:v>7.2719468882448887E-2</c:v>
                </c:pt>
                <c:pt idx="33">
                  <c:v>6.9374898312783789E-2</c:v>
                </c:pt>
                <c:pt idx="34">
                  <c:v>6.7154997444852774E-2</c:v>
                </c:pt>
                <c:pt idx="35">
                  <c:v>7.3152421742674931E-2</c:v>
                </c:pt>
                <c:pt idx="36">
                  <c:v>5.812106414826966E-2</c:v>
                </c:pt>
                <c:pt idx="37">
                  <c:v>5.6917962714291295E-2</c:v>
                </c:pt>
                <c:pt idx="38">
                  <c:v>8.096659793901545E-2</c:v>
                </c:pt>
                <c:pt idx="39">
                  <c:v>0.14567221943771261</c:v>
                </c:pt>
                <c:pt idx="40">
                  <c:v>0.17889745551191155</c:v>
                </c:pt>
                <c:pt idx="41">
                  <c:v>0.17706845122206785</c:v>
                </c:pt>
                <c:pt idx="42">
                  <c:v>0.1813427157471329</c:v>
                </c:pt>
                <c:pt idx="43">
                  <c:v>0.18173748166842693</c:v>
                </c:pt>
                <c:pt idx="44">
                  <c:v>0.18211453820329662</c:v>
                </c:pt>
                <c:pt idx="45">
                  <c:v>0.18638684348687273</c:v>
                </c:pt>
                <c:pt idx="46">
                  <c:v>0.18721550144637641</c:v>
                </c:pt>
                <c:pt idx="47">
                  <c:v>0.18998527758152015</c:v>
                </c:pt>
                <c:pt idx="48">
                  <c:v>0.18985626292731897</c:v>
                </c:pt>
                <c:pt idx="49">
                  <c:v>0.18988542374882997</c:v>
                </c:pt>
                <c:pt idx="50">
                  <c:v>0.18159760327688546</c:v>
                </c:pt>
                <c:pt idx="51">
                  <c:v>0.12028897735340206</c:v>
                </c:pt>
                <c:pt idx="52">
                  <c:v>8.5044995149626545E-2</c:v>
                </c:pt>
                <c:pt idx="53">
                  <c:v>8.6405961744546317E-2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644-4EAF-A221-EF0F03699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367360"/>
        <c:axId val="505357568"/>
      </c:lineChart>
      <c:dateAx>
        <c:axId val="50536736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57568"/>
        <c:crosses val="autoZero"/>
        <c:auto val="1"/>
        <c:lblOffset val="100"/>
        <c:baseTimeUnit val="months"/>
      </c:dateAx>
      <c:valAx>
        <c:axId val="50535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Retorno Total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Carteiras!$K$4</c:f>
              <c:strCache>
                <c:ptCount val="1"/>
                <c:pt idx="0">
                  <c:v>Retorno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29E-43E8-B7AE-ABCE969976A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729E-43E8-B7AE-ABCE969976A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29E-43E8-B7AE-ABCE96997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Carteiras!$Q$3:$S$3</c:f>
              <c:strCache>
                <c:ptCount val="3"/>
                <c:pt idx="0">
                  <c:v>Conservadora</c:v>
                </c:pt>
                <c:pt idx="1">
                  <c:v>Moderada</c:v>
                </c:pt>
                <c:pt idx="2">
                  <c:v>Agressiva</c:v>
                </c:pt>
              </c:strCache>
            </c:strRef>
          </c:cat>
          <c:val>
            <c:numRef>
              <c:f>Carteiras!$Q$4:$S$4</c:f>
              <c:numCache>
                <c:formatCode>0.00%</c:formatCode>
                <c:ptCount val="3"/>
                <c:pt idx="0">
                  <c:v>0.58471525539446279</c:v>
                </c:pt>
                <c:pt idx="1">
                  <c:v>1.1474165809452099</c:v>
                </c:pt>
                <c:pt idx="2">
                  <c:v>1.5523180180438461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29E-43E8-B7AE-ABCE969976A5}"/>
            </c:ext>
          </c:extLst>
        </c:ser>
        <c:ser>
          <c:idx val="1"/>
          <c:order val="1"/>
          <c:tx>
            <c:strRef>
              <c:f>Carteiras!$K$7</c:f>
              <c:strCache>
                <c:ptCount val="1"/>
                <c:pt idx="0">
                  <c:v>Risco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Carteiras!$Q$7:$S$7</c:f>
              <c:numCache>
                <c:formatCode>0.00%</c:formatCode>
                <c:ptCount val="3"/>
                <c:pt idx="0">
                  <c:v>1.6421044009019458E-2</c:v>
                </c:pt>
                <c:pt idx="1">
                  <c:v>7.4695573126280113E-2</c:v>
                </c:pt>
                <c:pt idx="2">
                  <c:v>9.925293597817883E-2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29E-43E8-B7AE-ABCE969976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5362464"/>
        <c:axId val="505358656"/>
      </c:barChart>
      <c:catAx>
        <c:axId val="5053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58656"/>
        <c:crosses val="autoZero"/>
        <c:auto val="1"/>
        <c:lblAlgn val="ctr"/>
        <c:lblOffset val="100"/>
        <c:noMultiLvlLbl val="0"/>
      </c:catAx>
      <c:valAx>
        <c:axId val="5053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624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Retorno x Risco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Dados!$Y$25</c:f>
              <c:strCache>
                <c:ptCount val="1"/>
                <c:pt idx="0">
                  <c:v>DÓLAR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Dados!$Y$26</c:f>
              <c:numCache>
                <c:formatCode>0.00%</c:formatCode>
                <c:ptCount val="1"/>
                <c:pt idx="0">
                  <c:v>0.16361411984159085</c:v>
                </c:pt>
              </c:numCache>
            </c:numRef>
          </c:xVal>
          <c:yVal>
            <c:numRef>
              <c:f>Dados!$Y$27</c:f>
              <c:numCache>
                <c:formatCode>0.00%</c:formatCode>
                <c:ptCount val="1"/>
                <c:pt idx="0">
                  <c:v>2.5134207044708701E-2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CCB-40B8-BCF8-EC7BA5208EC5}"/>
            </c:ext>
          </c:extLst>
        </c:ser>
        <c:ser>
          <c:idx val="1"/>
          <c:order val="1"/>
          <c:tx>
            <c:strRef>
              <c:f>Dados!$Z$25</c:f>
              <c:strCache>
                <c:ptCount val="1"/>
                <c:pt idx="0">
                  <c:v>CDI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Dados!$Z$26</c:f>
              <c:numCache>
                <c:formatCode>0.00%</c:formatCode>
                <c:ptCount val="1"/>
                <c:pt idx="0">
                  <c:v>1.0928305695972045E-2</c:v>
                </c:pt>
              </c:numCache>
            </c:numRef>
          </c:xVal>
          <c:yVal>
            <c:numRef>
              <c:f>Dados!$Z$27</c:f>
              <c:numCache>
                <c:formatCode>0.00%</c:formatCode>
                <c:ptCount val="1"/>
                <c:pt idx="0">
                  <c:v>7.2690336093387486E-2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CCB-40B8-BCF8-EC7BA5208EC5}"/>
            </c:ext>
          </c:extLst>
        </c:ser>
        <c:ser>
          <c:idx val="2"/>
          <c:order val="2"/>
          <c:tx>
            <c:strRef>
              <c:f>Dados!$AA$25</c:f>
              <c:strCache>
                <c:ptCount val="1"/>
                <c:pt idx="0">
                  <c:v>IVVB11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Dados!$AA$26</c:f>
              <c:numCache>
                <c:formatCode>0.00%</c:formatCode>
                <c:ptCount val="1"/>
                <c:pt idx="0">
                  <c:v>0.18958046850469998</c:v>
                </c:pt>
              </c:numCache>
            </c:numRef>
          </c:xVal>
          <c:yVal>
            <c:numRef>
              <c:f>Dados!$AA$27</c:f>
              <c:numCache>
                <c:formatCode>0.00%</c:formatCode>
                <c:ptCount val="1"/>
                <c:pt idx="0">
                  <c:v>0.23356360209453553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CCB-40B8-BCF8-EC7BA5208EC5}"/>
            </c:ext>
          </c:extLst>
        </c:ser>
        <c:ser>
          <c:idx val="3"/>
          <c:order val="3"/>
          <c:tx>
            <c:strRef>
              <c:f>Dados!$AB$25</c:f>
              <c:strCache>
                <c:ptCount val="1"/>
                <c:pt idx="0">
                  <c:v>BOVA11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Dados!$AB$26</c:f>
              <c:numCache>
                <c:formatCode>0.00%</c:formatCode>
                <c:ptCount val="1"/>
                <c:pt idx="0">
                  <c:v>0.25261120647076479</c:v>
                </c:pt>
              </c:numCache>
            </c:numRef>
          </c:xVal>
          <c:yVal>
            <c:numRef>
              <c:f>Dados!$AB$27</c:f>
              <c:numCache>
                <c:formatCode>0.00%</c:formatCode>
                <c:ptCount val="1"/>
                <c:pt idx="0">
                  <c:v>0.25601543958970918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CCB-40B8-BCF8-EC7BA5208EC5}"/>
            </c:ext>
          </c:extLst>
        </c:ser>
        <c:ser>
          <c:idx val="4"/>
          <c:order val="4"/>
          <c:tx>
            <c:strRef>
              <c:f>Dados!$AC$25</c:f>
              <c:strCache>
                <c:ptCount val="1"/>
                <c:pt idx="0">
                  <c:v>SMAL11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Dados!$AC$26</c:f>
              <c:numCache>
                <c:formatCode>0.00%</c:formatCode>
                <c:ptCount val="1"/>
                <c:pt idx="0">
                  <c:v>0.27495051334460446</c:v>
                </c:pt>
              </c:numCache>
            </c:numRef>
          </c:xVal>
          <c:yVal>
            <c:numRef>
              <c:f>Dados!$AC$27</c:f>
              <c:numCache>
                <c:formatCode>0.00%</c:formatCode>
                <c:ptCount val="1"/>
                <c:pt idx="0">
                  <c:v>0.31876947439957104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CCB-40B8-BCF8-EC7BA5208EC5}"/>
            </c:ext>
          </c:extLst>
        </c:ser>
        <c:ser>
          <c:idx val="5"/>
          <c:order val="5"/>
          <c:tx>
            <c:strRef>
              <c:f>Dados!$AD$25</c:f>
              <c:strCache>
                <c:ptCount val="1"/>
                <c:pt idx="0">
                  <c:v>Conservadora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Dados!$AD$26</c:f>
              <c:numCache>
                <c:formatCode>0.00%</c:formatCode>
                <c:ptCount val="1"/>
                <c:pt idx="0">
                  <c:v>1.6421044009019458E-2</c:v>
                </c:pt>
              </c:numCache>
            </c:numRef>
          </c:xVal>
          <c:yVal>
            <c:numRef>
              <c:f>Dados!$AD$27</c:f>
              <c:numCache>
                <c:formatCode>0.00%</c:formatCode>
                <c:ptCount val="1"/>
                <c:pt idx="0">
                  <c:v>8.8857542850517834E-2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CCB-40B8-BCF8-EC7BA5208EC5}"/>
            </c:ext>
          </c:extLst>
        </c:ser>
        <c:ser>
          <c:idx val="6"/>
          <c:order val="6"/>
          <c:tx>
            <c:strRef>
              <c:f>Dados!$AE$25</c:f>
              <c:strCache>
                <c:ptCount val="1"/>
                <c:pt idx="0">
                  <c:v>Moderada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Dados!$AE$26</c:f>
              <c:numCache>
                <c:formatCode>0.00%</c:formatCode>
                <c:ptCount val="1"/>
                <c:pt idx="0">
                  <c:v>7.4695573126280113E-2</c:v>
                </c:pt>
              </c:numCache>
            </c:numRef>
          </c:xVal>
          <c:yVal>
            <c:numRef>
              <c:f>Dados!$AE$27</c:f>
              <c:numCache>
                <c:formatCode>0.00%</c:formatCode>
                <c:ptCount val="1"/>
                <c:pt idx="0">
                  <c:v>0.15469162149565263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CCB-40B8-BCF8-EC7BA5208EC5}"/>
            </c:ext>
          </c:extLst>
        </c:ser>
        <c:ser>
          <c:idx val="7"/>
          <c:order val="7"/>
          <c:tx>
            <c:strRef>
              <c:f>Dados!$AF$25</c:f>
              <c:strCache>
                <c:ptCount val="1"/>
                <c:pt idx="0">
                  <c:v>Agressiva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Dados!$AF$26</c:f>
              <c:numCache>
                <c:formatCode>0.00%</c:formatCode>
                <c:ptCount val="1"/>
                <c:pt idx="0">
                  <c:v>9.925293597817883E-2</c:v>
                </c:pt>
              </c:numCache>
            </c:numRef>
          </c:xVal>
          <c:yVal>
            <c:numRef>
              <c:f>Dados!$AF$27</c:f>
              <c:numCache>
                <c:formatCode>0.00%</c:formatCode>
                <c:ptCount val="1"/>
                <c:pt idx="0">
                  <c:v>0.19454106501432378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CCB-40B8-BCF8-EC7BA5208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359200"/>
        <c:axId val="505368448"/>
      </c:scatterChart>
      <c:valAx>
        <c:axId val="50535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68448"/>
        <c:crosses val="autoZero"/>
        <c:crossBetween val="midCat"/>
      </c:valAx>
      <c:valAx>
        <c:axId val="50536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535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717688</xdr:colOff>
      <xdr:row>11</xdr:row>
      <xdr:rowOff>22363</xdr:rowOff>
    </xdr:from>
    <xdr:to>
      <xdr:col>17</xdr:col>
      <xdr:colOff>272912</xdr:colOff>
      <xdr:row>33</xdr:row>
      <xdr:rowOff>87796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xmlns="" id="{5BBB5F6C-A5F6-4E2F-A567-08FCE365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809623</xdr:colOff>
      <xdr:row>35</xdr:row>
      <xdr:rowOff>28574</xdr:rowOff>
    </xdr:from>
    <xdr:to>
      <xdr:col>16</xdr:col>
      <xdr:colOff>533400</xdr:colOff>
      <xdr:row>58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xmlns="" id="{E26FCC83-BB7D-4B90-918D-5309A941CB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219076</xdr:colOff>
      <xdr:row>35</xdr:row>
      <xdr:rowOff>0</xdr:rowOff>
    </xdr:from>
    <xdr:to>
      <xdr:col>9</xdr:col>
      <xdr:colOff>571501</xdr:colOff>
      <xdr:row>57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xmlns="" id="{D62C3692-E213-4212-84C9-A6417188A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200026</xdr:colOff>
      <xdr:row>11</xdr:row>
      <xdr:rowOff>152400</xdr:rowOff>
    </xdr:from>
    <xdr:to>
      <xdr:col>9</xdr:col>
      <xdr:colOff>533400</xdr:colOff>
      <xdr:row>34</xdr:row>
      <xdr:rowOff>66675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xmlns="" id="{3C1D64B4-D34E-48D6-A605-EBEF5287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676275</xdr:colOff>
      <xdr:row>35</xdr:row>
      <xdr:rowOff>57149</xdr:rowOff>
    </xdr:from>
    <xdr:to>
      <xdr:col>25</xdr:col>
      <xdr:colOff>340178</xdr:colOff>
      <xdr:row>58</xdr:row>
      <xdr:rowOff>38099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xmlns="" id="{91D13EAD-3C95-4D04-915F-C82C2DF9E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247650</xdr:colOff>
      <xdr:row>59</xdr:row>
      <xdr:rowOff>66675</xdr:rowOff>
    </xdr:from>
    <xdr:to>
      <xdr:col>9</xdr:col>
      <xdr:colOff>495300</xdr:colOff>
      <xdr:row>82</xdr:row>
      <xdr:rowOff>66675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xmlns="" id="{0C232D11-EFD4-4573-BEC4-22B97868D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95457</xdr:colOff>
      <xdr:row>11</xdr:row>
      <xdr:rowOff>99184</xdr:rowOff>
    </xdr:from>
    <xdr:to>
      <xdr:col>27</xdr:col>
      <xdr:colOff>420638</xdr:colOff>
      <xdr:row>33</xdr:row>
      <xdr:rowOff>197956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xmlns="" id="{B2478B9D-4065-4A65-BD48-3FE2D26E9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233361</xdr:colOff>
      <xdr:row>28</xdr:row>
      <xdr:rowOff>33337</xdr:rowOff>
    </xdr:from>
    <xdr:to>
      <xdr:col>32</xdr:col>
      <xdr:colOff>152399</xdr:colOff>
      <xdr:row>51</xdr:row>
      <xdr:rowOff>57150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xmlns="" id="{25AC7C89-695A-4831-995D-92CAF0A89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_Ret_Ano_Ano" displayName="tbl_Ret_Ano_Ano" ref="L4:T10" totalsRowShown="0" headerRowDxfId="73" dataDxfId="71" headerRowBorderDxfId="72" tableBorderDxfId="70">
  <tableColumns count="9">
    <tableColumn id="1" name="Ano" dataDxfId="69"/>
    <tableColumn id="13" name="DÓLAR" dataDxfId="68" dataCellStyle="Porcentagem"/>
    <tableColumn id="14" name="CDI" dataDxfId="67"/>
    <tableColumn id="15" name="IVVB11" dataDxfId="66" dataCellStyle="Porcentagem"/>
    <tableColumn id="16" name="BOVA11" dataDxfId="65" dataCellStyle="Porcentagem"/>
    <tableColumn id="17" name="SMAL11" dataDxfId="64" dataCellStyle="Porcentagem"/>
    <tableColumn id="18" name="Conservadora" dataDxfId="63"/>
    <tableColumn id="19" name="Moderada" dataDxfId="62"/>
    <tableColumn id="20" name="Agressiva" dataDxfId="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bl_Stats" displayName="tbl_Stats" ref="X4:AF11" totalsRowShown="0" headerRowDxfId="60" dataDxfId="58" headerRowBorderDxfId="59" tableBorderDxfId="57">
  <tableColumns count="9">
    <tableColumn id="1" name="Indicadores" dataDxfId="56"/>
    <tableColumn id="13" name="DÓLAR" dataDxfId="55"/>
    <tableColumn id="14" name="CDI" dataDxfId="54"/>
    <tableColumn id="15" name="IVVB11" dataDxfId="53"/>
    <tableColumn id="16" name="BOVA11" dataDxfId="52"/>
    <tableColumn id="17" name="SMAL11" dataDxfId="51"/>
    <tableColumn id="18" name="Conservadora" dataDxfId="50"/>
    <tableColumn id="19" name="Moderada" dataDxfId="49"/>
    <tableColumn id="20" name="Agressiva" dataDxfId="4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_dados" displayName="tbl_dados" ref="A4:I90" totalsRowShown="0" headerRowDxfId="47" dataDxfId="45" headerRowBorderDxfId="46">
  <tableColumns count="9">
    <tableColumn id="1" name="Mês" dataDxfId="44"/>
    <tableColumn id="12" name="DÓLAR" dataDxfId="43"/>
    <tableColumn id="13" name="CDI" dataDxfId="42"/>
    <tableColumn id="14" name="IVVB11" dataDxfId="41"/>
    <tableColumn id="15" name="BOVA11" dataDxfId="40"/>
    <tableColumn id="16" name="SMAL11" dataDxfId="39"/>
    <tableColumn id="17" name="Conservadora" dataDxfId="38">
      <calculatedColumnFormula>SUMPRODUCT($B5:$F5,Carteiras!$M$16:$Q$16)</calculatedColumnFormula>
    </tableColumn>
    <tableColumn id="18" name="Moderada" dataDxfId="37">
      <calculatedColumnFormula>SUMPRODUCT($B5:$F5,Carteiras!$M$17:$Q$17)</calculatedColumnFormula>
    </tableColumn>
    <tableColumn id="19" name="Agressiva" dataDxfId="36">
      <calculatedColumnFormula>SUMPRODUCT($B5:$F5,Carteiras!$M$18:$Q$18)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_evo100" displayName="tbl_evo100" ref="AJ4:AR77" totalsRowShown="0" headerRowDxfId="35" dataDxfId="33" headerRowBorderDxfId="34">
  <tableColumns count="9">
    <tableColumn id="1" name="Mês" dataDxfId="32"/>
    <tableColumn id="12" name="DÓLAR" dataDxfId="31">
      <calculatedColumnFormula>AK4*(1+B4)</calculatedColumnFormula>
    </tableColumn>
    <tableColumn id="13" name="CDI" dataDxfId="30">
      <calculatedColumnFormula>AL4*(1+C4)</calculatedColumnFormula>
    </tableColumn>
    <tableColumn id="14" name="IVVB11" dataDxfId="29">
      <calculatedColumnFormula>AM4*(1+D4)</calculatedColumnFormula>
    </tableColumn>
    <tableColumn id="15" name="BOVA11" dataDxfId="28">
      <calculatedColumnFormula>AN4*(1+E4)</calculatedColumnFormula>
    </tableColumn>
    <tableColumn id="16" name="SMAL11" dataDxfId="27">
      <calculatedColumnFormula>AO4*(1+F4)</calculatedColumnFormula>
    </tableColumn>
    <tableColumn id="17" name="Conservadora" dataDxfId="26">
      <calculatedColumnFormula>AP4*(1+G4)</calculatedColumnFormula>
    </tableColumn>
    <tableColumn id="18" name="Moderada" dataDxfId="25">
      <calculatedColumnFormula>AQ4*(1+H4)</calculatedColumnFormula>
    </tableColumn>
    <tableColumn id="19" name="Agressiva" dataDxfId="24">
      <calculatedColumnFormula>AR4*(1+I4)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ret12M" displayName="tbl_ret12M" ref="AV4:BD65" totalsRowShown="0" headerRowDxfId="23" dataDxfId="21" headerRowBorderDxfId="22">
  <tableColumns count="9">
    <tableColumn id="1" name="Mês" dataDxfId="20"/>
    <tableColumn id="12" name="DÓLAR" dataDxfId="19">
      <calculatedColumnFormula>SUMPRODUCT(PRODUCT(#REF!+1)-1)</calculatedColumnFormula>
    </tableColumn>
    <tableColumn id="13" name="CDI" dataDxfId="18">
      <calculatedColumnFormula>SUMPRODUCT(PRODUCT(C5:C16+1)-1)</calculatedColumnFormula>
    </tableColumn>
    <tableColumn id="14" name="IVVB11" dataDxfId="17">
      <calculatedColumnFormula>SUMPRODUCT(PRODUCT(D5:D16+1)-1)</calculatedColumnFormula>
    </tableColumn>
    <tableColumn id="15" name="BOVA11" dataDxfId="16">
      <calculatedColumnFormula>SUMPRODUCT(PRODUCT(E5:E16+1)-1)</calculatedColumnFormula>
    </tableColumn>
    <tableColumn id="16" name="SMAL11" dataDxfId="15">
      <calculatedColumnFormula>SUMPRODUCT(PRODUCT(F5:F16+1)-1)</calculatedColumnFormula>
    </tableColumn>
    <tableColumn id="17" name="Conservadora" dataDxfId="14">
      <calculatedColumnFormula>SUMPRODUCT(PRODUCT(G5:G16+1)-1)</calculatedColumnFormula>
    </tableColumn>
    <tableColumn id="18" name="Moderada" dataDxfId="13">
      <calculatedColumnFormula>SUMPRODUCT(PRODUCT(H5:H16+1)-1)</calculatedColumnFormula>
    </tableColumn>
    <tableColumn id="19" name="Agressiva" dataDxfId="12">
      <calculatedColumnFormula>SUMPRODUCT(PRODUCT(I5:I16+1)-1)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bl_risco12M" displayName="tbl_risco12M" ref="BH4:BP65" totalsRowShown="0" headerRowDxfId="11" dataDxfId="9" headerRowBorderDxfId="10">
  <tableColumns count="9">
    <tableColumn id="1" name="Mês" dataDxfId="8"/>
    <tableColumn id="12" name="DÓLAR" dataDxfId="7">
      <calculatedColumnFormula>STDEV(B5:B16)*SQRT(12)</calculatedColumnFormula>
    </tableColumn>
    <tableColumn id="13" name="CDI" dataDxfId="6">
      <calculatedColumnFormula>STDEV(C5:C16)*SQRT(12)</calculatedColumnFormula>
    </tableColumn>
    <tableColumn id="14" name="IVVB11" dataDxfId="5">
      <calculatedColumnFormula>STDEV(D5:D16)*SQRT(12)</calculatedColumnFormula>
    </tableColumn>
    <tableColumn id="15" name="BOVA11" dataDxfId="4">
      <calculatedColumnFormula>STDEV(E5:E16)*SQRT(12)</calculatedColumnFormula>
    </tableColumn>
    <tableColumn id="16" name="SMAL11" dataDxfId="3">
      <calculatedColumnFormula>STDEV(F5:F16)*SQRT(12)</calculatedColumnFormula>
    </tableColumn>
    <tableColumn id="17" name="Conservadora" dataDxfId="2">
      <calculatedColumnFormula>STDEV(G5:G16)*SQRT(12)</calculatedColumnFormula>
    </tableColumn>
    <tableColumn id="18" name="Moderada" dataDxfId="1">
      <calculatedColumnFormula>STDEV(H5:H16)*SQRT(12)</calculatedColumnFormula>
    </tableColumn>
    <tableColumn id="19" name="Agressiva" dataDxfId="0">
      <calculatedColumnFormula>STDEV(I5:I16)*SQRT(12)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>
    <tabColor rgb="FFE6F7D9"/>
  </sheetPr>
  <dimension ref="A2:X39"/>
  <sheetViews>
    <sheetView showGridLines="0" tabSelected="1" zoomScale="85" zoomScaleNormal="85" workbookViewId="0">
      <selection activeCell="AD8" sqref="AD8"/>
    </sheetView>
  </sheetViews>
  <sheetFormatPr defaultRowHeight="15.75" x14ac:dyDescent="0.25"/>
  <cols>
    <col min="1" max="1" width="3.85546875" style="5" customWidth="1"/>
    <col min="2" max="2" width="15.5703125" style="12" customWidth="1"/>
    <col min="3" max="3" width="9" style="5" customWidth="1"/>
    <col min="4" max="4" width="2.7109375" style="5" customWidth="1"/>
    <col min="5" max="5" width="10.42578125" style="12" customWidth="1"/>
    <col min="6" max="6" width="10.28515625" style="5" customWidth="1"/>
    <col min="7" max="7" width="2.7109375" style="5" customWidth="1"/>
    <col min="8" max="8" width="14.42578125" style="12" bestFit="1" customWidth="1"/>
    <col min="9" max="9" width="8.42578125" style="5" customWidth="1"/>
    <col min="10" max="10" width="12.42578125" style="5" customWidth="1"/>
    <col min="11" max="11" width="21.85546875" style="5" customWidth="1"/>
    <col min="12" max="12" width="14.42578125" style="5" customWidth="1"/>
    <col min="13" max="13" width="7.5703125" style="5" customWidth="1"/>
    <col min="14" max="14" width="7.7109375" style="5" bestFit="1" customWidth="1"/>
    <col min="15" max="15" width="9.140625" style="5" customWidth="1"/>
    <col min="16" max="16" width="11.42578125" style="5" customWidth="1"/>
    <col min="17" max="17" width="16.5703125" style="5" customWidth="1"/>
    <col min="18" max="18" width="12.5703125" style="5" customWidth="1"/>
    <col min="19" max="20" width="14" style="5" customWidth="1"/>
    <col min="21" max="24" width="9.140625" style="5"/>
  </cols>
  <sheetData>
    <row r="2" spans="1:19" x14ac:dyDescent="0.25">
      <c r="A2" s="4"/>
      <c r="B2" s="39" t="s">
        <v>36</v>
      </c>
    </row>
    <row r="3" spans="1:19" x14ac:dyDescent="0.25">
      <c r="K3" s="25" t="s">
        <v>10</v>
      </c>
      <c r="L3" s="11" t="s">
        <v>1</v>
      </c>
      <c r="M3" s="11" t="s">
        <v>30</v>
      </c>
      <c r="N3" s="11" t="s">
        <v>29</v>
      </c>
      <c r="O3" s="11" t="s">
        <v>32</v>
      </c>
      <c r="P3" s="11" t="s">
        <v>33</v>
      </c>
      <c r="Q3" s="34" t="s">
        <v>11</v>
      </c>
      <c r="R3" s="35" t="s">
        <v>12</v>
      </c>
      <c r="S3" s="36" t="s">
        <v>13</v>
      </c>
    </row>
    <row r="4" spans="1:19" x14ac:dyDescent="0.25">
      <c r="B4" s="61" t="s">
        <v>15</v>
      </c>
      <c r="C4" s="62"/>
      <c r="D4" s="4"/>
      <c r="E4" s="59" t="s">
        <v>16</v>
      </c>
      <c r="F4" s="59"/>
      <c r="G4" s="4"/>
      <c r="H4" s="60" t="s">
        <v>17</v>
      </c>
      <c r="I4" s="60"/>
      <c r="K4" s="26" t="str">
        <f>Dados!X5</f>
        <v>Retorno Total</v>
      </c>
      <c r="L4" s="49">
        <f>Dados!Y5</f>
        <v>6.5246385621467562E-2</v>
      </c>
      <c r="M4" s="49">
        <f>Dados!Z5</f>
        <v>0.46195127532341296</v>
      </c>
      <c r="N4" s="49">
        <f>Dados!AA5</f>
        <v>1.8400345232041735</v>
      </c>
      <c r="O4" s="49">
        <f>Dados!AB5</f>
        <v>1.8781912726345866</v>
      </c>
      <c r="P4" s="49">
        <f>Dados!AC5</f>
        <v>2.5956433995723671</v>
      </c>
      <c r="Q4" s="50">
        <f>Dados!AD5</f>
        <v>0.58471525539446279</v>
      </c>
      <c r="R4" s="51">
        <f>Dados!AE5</f>
        <v>1.1474165809452099</v>
      </c>
      <c r="S4" s="52">
        <f>Dados!AF5</f>
        <v>1.5523180180438461</v>
      </c>
    </row>
    <row r="5" spans="1:19" x14ac:dyDescent="0.25">
      <c r="B5" s="16" t="s">
        <v>1</v>
      </c>
      <c r="C5" s="38">
        <v>0</v>
      </c>
      <c r="D5" s="6"/>
      <c r="E5" s="20" t="s">
        <v>1</v>
      </c>
      <c r="F5" s="37">
        <v>0.05</v>
      </c>
      <c r="G5" s="6"/>
      <c r="H5" s="23" t="s">
        <v>1</v>
      </c>
      <c r="I5" s="37">
        <v>0.1</v>
      </c>
      <c r="K5" s="26" t="str">
        <f>Dados!X6</f>
        <v>Retorno Médio</v>
      </c>
      <c r="L5" s="49">
        <f>Dados!Y6</f>
        <v>2.5134207044708701E-2</v>
      </c>
      <c r="M5" s="49">
        <f>Dados!Z6</f>
        <v>7.2690336093387486E-2</v>
      </c>
      <c r="N5" s="49">
        <f>Dados!AA6</f>
        <v>0.23356360209453553</v>
      </c>
      <c r="O5" s="49">
        <f>Dados!AB6</f>
        <v>0.25601543958970918</v>
      </c>
      <c r="P5" s="49">
        <f>Dados!AC6</f>
        <v>0.31876947439957104</v>
      </c>
      <c r="Q5" s="50">
        <f>Dados!AD6</f>
        <v>8.8857542850517834E-2</v>
      </c>
      <c r="R5" s="51">
        <f>Dados!AE6</f>
        <v>0.15469162149565263</v>
      </c>
      <c r="S5" s="52">
        <f>Dados!AF6</f>
        <v>0.19454106501432378</v>
      </c>
    </row>
    <row r="6" spans="1:19" x14ac:dyDescent="0.25">
      <c r="B6" s="16" t="s">
        <v>30</v>
      </c>
      <c r="C6" s="38">
        <v>0.9</v>
      </c>
      <c r="D6" s="6"/>
      <c r="E6" s="20" t="s">
        <v>30</v>
      </c>
      <c r="F6" s="37">
        <v>0.5</v>
      </c>
      <c r="G6" s="6"/>
      <c r="H6" s="23" t="s">
        <v>30</v>
      </c>
      <c r="I6" s="37">
        <v>0.25</v>
      </c>
      <c r="K6" s="26" t="str">
        <f>Dados!X7</f>
        <v>Retorno Composto</v>
      </c>
      <c r="L6" s="49">
        <f>Dados!Y7</f>
        <v>1.1737168516415597E-2</v>
      </c>
      <c r="M6" s="49">
        <f>Dados!Z7</f>
        <v>7.2628051472066746E-2</v>
      </c>
      <c r="N6" s="49">
        <f>Dados!AA7</f>
        <v>0.21252447687201448</v>
      </c>
      <c r="O6" s="49">
        <f>Dados!AB7</f>
        <v>0.21551563961962805</v>
      </c>
      <c r="P6" s="49">
        <f>Dados!AC7</f>
        <v>0.26649918106437975</v>
      </c>
      <c r="Q6" s="50">
        <f>Dados!AD7</f>
        <v>8.8714669834523141E-2</v>
      </c>
      <c r="R6" s="51">
        <f>Dados!AE7</f>
        <v>0.151534239645994</v>
      </c>
      <c r="S6" s="52">
        <f>Dados!AF7</f>
        <v>0.18884824799703348</v>
      </c>
    </row>
    <row r="7" spans="1:19" x14ac:dyDescent="0.25">
      <c r="B7" s="16" t="s">
        <v>29</v>
      </c>
      <c r="C7" s="38">
        <v>0.05</v>
      </c>
      <c r="D7" s="6"/>
      <c r="E7" s="20" t="s">
        <v>29</v>
      </c>
      <c r="F7" s="37">
        <v>0.15</v>
      </c>
      <c r="G7" s="6"/>
      <c r="H7" s="23" t="s">
        <v>29</v>
      </c>
      <c r="I7" s="37">
        <v>0.3</v>
      </c>
      <c r="K7" s="26" t="str">
        <f>Dados!X8</f>
        <v>Risco</v>
      </c>
      <c r="L7" s="49">
        <f>Dados!Y8</f>
        <v>0.16361411984159085</v>
      </c>
      <c r="M7" s="49">
        <f>Dados!Z8</f>
        <v>1.0928305695972045E-2</v>
      </c>
      <c r="N7" s="49">
        <f>Dados!AA8</f>
        <v>0.18958046850469998</v>
      </c>
      <c r="O7" s="49">
        <f>Dados!AB8</f>
        <v>0.25261120647076479</v>
      </c>
      <c r="P7" s="49">
        <f>Dados!AC8</f>
        <v>0.27495051334460446</v>
      </c>
      <c r="Q7" s="50">
        <f>Dados!AD8</f>
        <v>1.6421044009019458E-2</v>
      </c>
      <c r="R7" s="51">
        <f>Dados!AE8</f>
        <v>7.4695573126280113E-2</v>
      </c>
      <c r="S7" s="52">
        <f>Dados!AF8</f>
        <v>9.925293597817883E-2</v>
      </c>
    </row>
    <row r="8" spans="1:19" x14ac:dyDescent="0.25">
      <c r="B8" s="16" t="s">
        <v>32</v>
      </c>
      <c r="C8" s="38">
        <v>0.05</v>
      </c>
      <c r="D8" s="6"/>
      <c r="E8" s="20" t="s">
        <v>32</v>
      </c>
      <c r="F8" s="37">
        <v>0.15</v>
      </c>
      <c r="G8" s="6"/>
      <c r="H8" s="23" t="s">
        <v>32</v>
      </c>
      <c r="I8" s="37">
        <v>0.05</v>
      </c>
      <c r="K8" s="26" t="str">
        <f>Dados!X9</f>
        <v>Sharpe</v>
      </c>
      <c r="L8" s="53">
        <f>Dados!Y9</f>
        <v>-0.3721615409147141</v>
      </c>
      <c r="M8" s="53">
        <f>Dados!Z9</f>
        <v>0</v>
      </c>
      <c r="N8" s="53">
        <f>Dados!AA9</f>
        <v>0.73792636184185556</v>
      </c>
      <c r="O8" s="53">
        <f>Dados!AB9</f>
        <v>0.5656423170762932</v>
      </c>
      <c r="P8" s="53">
        <f>Dados!AC9</f>
        <v>0.70511281188018005</v>
      </c>
      <c r="Q8" s="54">
        <f>Dados!AD9</f>
        <v>0.9796343249321191</v>
      </c>
      <c r="R8" s="55">
        <f>Dados!AE9</f>
        <v>1.0563703425975284</v>
      </c>
      <c r="S8" s="56">
        <f>Dados!AF9</f>
        <v>1.1709497092410266</v>
      </c>
    </row>
    <row r="9" spans="1:19" x14ac:dyDescent="0.25">
      <c r="B9" s="27" t="s">
        <v>33</v>
      </c>
      <c r="C9" s="38">
        <v>0</v>
      </c>
      <c r="D9" s="6"/>
      <c r="E9" s="28" t="s">
        <v>33</v>
      </c>
      <c r="F9" s="37">
        <v>0.15</v>
      </c>
      <c r="G9" s="6"/>
      <c r="H9" s="29" t="s">
        <v>33</v>
      </c>
      <c r="I9" s="37">
        <v>0.3</v>
      </c>
      <c r="K9" s="26" t="str">
        <f>Dados!X10</f>
        <v>Retorno Máximo</v>
      </c>
      <c r="L9" s="49">
        <f>Dados!Y10</f>
        <v>0.1578</v>
      </c>
      <c r="M9" s="49">
        <f>Dados!Z10</f>
        <v>1.1599999999999999E-2</v>
      </c>
      <c r="N9" s="49">
        <f>Dados!AA10</f>
        <v>0.17899999999999999</v>
      </c>
      <c r="O9" s="49">
        <f>Dados!AB10</f>
        <v>0.17349999999999999</v>
      </c>
      <c r="P9" s="49">
        <f>Dados!AC10</f>
        <v>0.17530000000000001</v>
      </c>
      <c r="Q9" s="50">
        <f>Dados!AD10</f>
        <v>1.8585000000000001E-2</v>
      </c>
      <c r="R9" s="51">
        <f>Dados!AE10</f>
        <v>7.020499999999999E-2</v>
      </c>
      <c r="S9" s="52">
        <f>Dados!AF10</f>
        <v>0.109985</v>
      </c>
    </row>
    <row r="10" spans="1:19" x14ac:dyDescent="0.25">
      <c r="B10" s="18" t="s">
        <v>2</v>
      </c>
      <c r="C10" s="17">
        <f>SUM(C5:C9)</f>
        <v>1</v>
      </c>
      <c r="D10" s="6"/>
      <c r="E10" s="21" t="s">
        <v>2</v>
      </c>
      <c r="F10" s="19">
        <f>SUM(F5:F9)</f>
        <v>1</v>
      </c>
      <c r="G10" s="6"/>
      <c r="H10" s="24" t="s">
        <v>2</v>
      </c>
      <c r="I10" s="22">
        <f>SUM(I5:I9)</f>
        <v>1</v>
      </c>
      <c r="K10" s="26" t="str">
        <f>Dados!X11</f>
        <v>Retorno Mínimo</v>
      </c>
      <c r="L10" s="49">
        <f>Dados!Y11</f>
        <v>-0.12039999999999999</v>
      </c>
      <c r="M10" s="49">
        <f>Dados!Z11</f>
        <v>1.2999999999999999E-3</v>
      </c>
      <c r="N10" s="49">
        <f>Dados!AA11</f>
        <v>-0.13819999999999999</v>
      </c>
      <c r="O10" s="49">
        <f>Dados!AB11</f>
        <v>-0.31059999999999999</v>
      </c>
      <c r="P10" s="49">
        <f>Dados!AC11</f>
        <v>-0.37480000000000002</v>
      </c>
      <c r="Q10" s="50">
        <f>Dados!AD11</f>
        <v>-1.1390000000000001E-2</v>
      </c>
      <c r="R10" s="51">
        <f>Dados!AE11</f>
        <v>-8.9980000000000004E-2</v>
      </c>
      <c r="S10" s="52">
        <f>Dados!AF11</f>
        <v>-0.10485999999999999</v>
      </c>
    </row>
    <row r="11" spans="1:19" x14ac:dyDescent="0.25">
      <c r="C11" s="12"/>
      <c r="H11" s="15"/>
    </row>
    <row r="12" spans="1:19" x14ac:dyDescent="0.25">
      <c r="A12" s="8"/>
      <c r="B12" s="13"/>
      <c r="C12" s="8"/>
      <c r="D12" s="8"/>
      <c r="E12" s="13"/>
      <c r="F12" s="8"/>
      <c r="G12" s="8"/>
      <c r="H12" s="13"/>
      <c r="I12" s="8"/>
      <c r="J12" s="8"/>
      <c r="K12" s="8"/>
    </row>
    <row r="13" spans="1:19" x14ac:dyDescent="0.25">
      <c r="A13" s="8"/>
      <c r="B13" s="13"/>
      <c r="C13" s="8"/>
      <c r="D13" s="8"/>
      <c r="E13" s="13"/>
      <c r="F13" s="8"/>
      <c r="G13" s="8"/>
      <c r="H13" s="13"/>
      <c r="I13" s="8"/>
      <c r="J13" s="8"/>
      <c r="L13" s="9"/>
      <c r="M13" s="8"/>
      <c r="N13" s="13"/>
      <c r="O13" s="8"/>
      <c r="P13" s="13"/>
      <c r="Q13" s="8"/>
      <c r="R13" s="8"/>
    </row>
    <row r="14" spans="1:19" x14ac:dyDescent="0.25">
      <c r="A14" s="9"/>
      <c r="L14" s="13"/>
      <c r="M14" s="8"/>
      <c r="N14" s="13"/>
      <c r="O14" s="8"/>
      <c r="P14" s="13"/>
      <c r="Q14" s="8"/>
      <c r="R14" s="8"/>
    </row>
    <row r="15" spans="1:19" x14ac:dyDescent="0.25">
      <c r="A15" s="8"/>
      <c r="L15" s="9"/>
      <c r="M15" s="9" t="s">
        <v>1</v>
      </c>
      <c r="N15" s="9" t="s">
        <v>30</v>
      </c>
      <c r="O15" s="9" t="s">
        <v>29</v>
      </c>
      <c r="P15" s="9" t="s">
        <v>32</v>
      </c>
      <c r="Q15" s="9" t="s">
        <v>33</v>
      </c>
      <c r="R15" s="8"/>
    </row>
    <row r="16" spans="1:19" x14ac:dyDescent="0.25">
      <c r="A16" s="8"/>
      <c r="L16" s="9" t="s">
        <v>18</v>
      </c>
      <c r="M16" s="10">
        <f>IFERROR(INDEX($B$5:$C$9,MATCH(M$15,$B$5:$B$9,0),2),"-")</f>
        <v>0</v>
      </c>
      <c r="N16" s="14">
        <f>IFERROR(INDEX($B$5:$C$9,MATCH(N$15,$B$5:$B$9,0),2),"-")</f>
        <v>0.9</v>
      </c>
      <c r="O16" s="10">
        <f>IFERROR(INDEX($B$5:$C$9,MATCH(O$15,$B$5:$B$9,0),2),"-")</f>
        <v>0.05</v>
      </c>
      <c r="P16" s="14">
        <f>IFERROR(INDEX($B$5:$C$9,MATCH(P$15,$B$5:$B$9,0),2),"-")</f>
        <v>0.05</v>
      </c>
      <c r="Q16" s="10">
        <f>IFERROR(INDEX($B$5:$C$9,MATCH(Q$15,$B$5:$B$9,0),2),"-")</f>
        <v>0</v>
      </c>
      <c r="R16" s="33"/>
    </row>
    <row r="17" spans="1:18" x14ac:dyDescent="0.25">
      <c r="A17" s="8"/>
      <c r="L17" s="9" t="s">
        <v>19</v>
      </c>
      <c r="M17" s="10">
        <f>IFERROR(INDEX($E$5:$F$9,MATCH(M$15,$E$5:$E$9,0),2),"-")</f>
        <v>0.05</v>
      </c>
      <c r="N17" s="14">
        <f>IFERROR(INDEX($E$5:$F$9,MATCH(N$15,$E$5:$E$9,0),2),"-")</f>
        <v>0.5</v>
      </c>
      <c r="O17" s="10">
        <f>IFERROR(INDEX($E$5:$F$9,MATCH(O$15,$E$5:$E$9,0),2),"-")</f>
        <v>0.15</v>
      </c>
      <c r="P17" s="14">
        <f>IFERROR(INDEX($E$5:$F$9,MATCH(P$15,$E$5:$E$9,0),2),"-")</f>
        <v>0.15</v>
      </c>
      <c r="Q17" s="10">
        <f>IFERROR(INDEX($E$5:$F$9,MATCH(Q$15,$E$5:$E$9,0),2),"-")</f>
        <v>0.15</v>
      </c>
      <c r="R17" s="33"/>
    </row>
    <row r="18" spans="1:18" x14ac:dyDescent="0.25">
      <c r="A18" s="8"/>
      <c r="L18" s="9" t="s">
        <v>20</v>
      </c>
      <c r="M18" s="10">
        <f>IFERROR(INDEX($H$5:$I$9,MATCH(M$15,$H$5:$H$9,0),2),"-")</f>
        <v>0.1</v>
      </c>
      <c r="N18" s="14">
        <f>IFERROR(INDEX($H$5:$I$9,MATCH(N$15,$H$5:$H$9,0),2),"-")</f>
        <v>0.25</v>
      </c>
      <c r="O18" s="10">
        <f>IFERROR(INDEX($H$5:$I$9,MATCH(O$15,$H$5:$H$9,0),2),"-")</f>
        <v>0.3</v>
      </c>
      <c r="P18" s="14">
        <f>IFERROR(INDEX($H$5:$I$9,MATCH(P$15,$H$5:$H$9,0),2),"-")</f>
        <v>0.05</v>
      </c>
      <c r="Q18" s="10">
        <f>IFERROR(INDEX($H$5:$I$9,MATCH(Q$15,$H$5:$H$9,0),2),"-")</f>
        <v>0.3</v>
      </c>
      <c r="R18" s="33"/>
    </row>
    <row r="19" spans="1:18" x14ac:dyDescent="0.25">
      <c r="A19" s="8"/>
      <c r="K19" s="8"/>
    </row>
    <row r="20" spans="1:18" x14ac:dyDescent="0.25">
      <c r="A20" s="8"/>
      <c r="K20" s="8"/>
    </row>
    <row r="21" spans="1:18" x14ac:dyDescent="0.25">
      <c r="A21" s="8"/>
      <c r="B21" s="13"/>
      <c r="C21" s="8"/>
      <c r="D21" s="8"/>
      <c r="E21" s="13"/>
      <c r="F21" s="8"/>
      <c r="G21" s="8"/>
      <c r="H21" s="13"/>
      <c r="I21" s="8"/>
      <c r="J21" s="8"/>
      <c r="K21" s="8"/>
    </row>
    <row r="22" spans="1:18" x14ac:dyDescent="0.25">
      <c r="A22" s="8"/>
      <c r="B22" s="13"/>
      <c r="C22" s="8"/>
      <c r="D22" s="8"/>
      <c r="E22" s="13"/>
      <c r="F22" s="8"/>
      <c r="G22" s="8"/>
      <c r="H22" s="13"/>
      <c r="I22" s="8"/>
      <c r="J22" s="8"/>
      <c r="K22" s="8"/>
      <c r="L22" s="7"/>
    </row>
    <row r="23" spans="1:18" x14ac:dyDescent="0.25">
      <c r="A23" s="8"/>
      <c r="B23" s="13"/>
      <c r="C23" s="8"/>
      <c r="D23" s="8"/>
      <c r="E23" s="13"/>
      <c r="F23" s="8"/>
      <c r="G23" s="8"/>
      <c r="H23" s="13"/>
      <c r="I23" s="8"/>
      <c r="J23" s="8"/>
      <c r="K23" s="8"/>
    </row>
    <row r="24" spans="1:18" x14ac:dyDescent="0.25">
      <c r="A24" s="8"/>
      <c r="B24" s="13"/>
      <c r="C24" s="8"/>
      <c r="D24" s="8"/>
      <c r="E24" s="13"/>
      <c r="F24" s="8"/>
      <c r="G24" s="8"/>
      <c r="H24" s="13"/>
      <c r="I24" s="8"/>
      <c r="J24" s="8"/>
      <c r="K24" s="8"/>
    </row>
    <row r="39" spans="2:10" x14ac:dyDescent="0.25">
      <c r="B39" s="13"/>
      <c r="C39" s="8"/>
      <c r="D39" s="8"/>
      <c r="E39" s="13"/>
      <c r="F39" s="8"/>
      <c r="G39" s="8"/>
      <c r="H39" s="13"/>
      <c r="I39" s="8"/>
      <c r="J39" s="8"/>
    </row>
  </sheetData>
  <mergeCells count="3">
    <mergeCell ref="E4:F4"/>
    <mergeCell ref="H4:I4"/>
    <mergeCell ref="B4:C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>
    <tabColor rgb="FFE6F7D9"/>
  </sheetPr>
  <dimension ref="A2:BP90"/>
  <sheetViews>
    <sheetView showGridLines="0" zoomScaleNormal="100" zoomScaleSheetLayoutView="106" workbookViewId="0">
      <pane ySplit="4" topLeftCell="A38" activePane="bottomLeft" state="frozen"/>
      <selection pane="bottomLeft" activeCell="I65" sqref="I65"/>
    </sheetView>
  </sheetViews>
  <sheetFormatPr defaultRowHeight="12.75" x14ac:dyDescent="0.2"/>
  <cols>
    <col min="1" max="1" width="11.85546875" style="3" bestFit="1" customWidth="1"/>
    <col min="2" max="6" width="11.85546875" style="3" customWidth="1"/>
    <col min="7" max="7" width="16.5703125" style="3" customWidth="1"/>
    <col min="8" max="9" width="14.85546875" style="3" customWidth="1"/>
    <col min="10" max="10" width="7.7109375" style="3" customWidth="1"/>
    <col min="11" max="11" width="11.42578125" style="3" bestFit="1" customWidth="1"/>
    <col min="12" max="12" width="9.140625" style="42"/>
    <col min="13" max="17" width="11.85546875" style="3" customWidth="1"/>
    <col min="18" max="18" width="14.5703125" style="3" bestFit="1" customWidth="1"/>
    <col min="19" max="20" width="11.85546875" style="3" customWidth="1"/>
    <col min="21" max="21" width="7.7109375" style="3" customWidth="1"/>
    <col min="22" max="22" width="3.85546875" style="3" customWidth="1"/>
    <col min="23" max="23" width="4.7109375" style="3" customWidth="1"/>
    <col min="24" max="24" width="18.42578125" style="42" bestFit="1" customWidth="1"/>
    <col min="25" max="25" width="11.85546875" style="3" customWidth="1"/>
    <col min="26" max="26" width="6.7109375" style="3" bestFit="1" customWidth="1"/>
    <col min="27" max="29" width="11.85546875" style="3" customWidth="1"/>
    <col min="30" max="30" width="14.5703125" style="3" bestFit="1" customWidth="1"/>
    <col min="31" max="32" width="11.85546875" style="3" customWidth="1"/>
    <col min="33" max="33" width="7.7109375" style="3" customWidth="1"/>
    <col min="34" max="34" width="3.85546875" style="3" customWidth="1"/>
    <col min="35" max="35" width="4.7109375" style="3" customWidth="1"/>
    <col min="36" max="36" width="11.85546875" style="3" bestFit="1" customWidth="1"/>
    <col min="37" max="41" width="11.85546875" style="3" customWidth="1"/>
    <col min="42" max="42" width="16.5703125" style="3" customWidth="1"/>
    <col min="43" max="43" width="13.28515625" style="3" customWidth="1"/>
    <col min="44" max="44" width="12.28515625" style="3" customWidth="1"/>
    <col min="45" max="45" width="7.7109375" style="3" customWidth="1"/>
    <col min="46" max="46" width="3.85546875" style="3" customWidth="1"/>
    <col min="47" max="47" width="4.7109375" style="3" customWidth="1"/>
    <col min="48" max="48" width="10.42578125" style="3" bestFit="1" customWidth="1"/>
    <col min="49" max="53" width="11.85546875" style="3" customWidth="1"/>
    <col min="54" max="54" width="16.5703125" style="3" customWidth="1"/>
    <col min="55" max="55" width="13.28515625" style="3" customWidth="1"/>
    <col min="56" max="56" width="12.28515625" style="3" customWidth="1"/>
    <col min="57" max="57" width="7.7109375" style="3" customWidth="1"/>
    <col min="58" max="58" width="3.85546875" style="3" customWidth="1"/>
    <col min="59" max="59" width="4.7109375" style="3" customWidth="1"/>
    <col min="60" max="60" width="11.85546875" style="3" bestFit="1" customWidth="1"/>
    <col min="61" max="65" width="11.85546875" style="3" customWidth="1"/>
    <col min="66" max="66" width="16.5703125" style="3" customWidth="1"/>
    <col min="67" max="67" width="13.28515625" style="3" customWidth="1"/>
    <col min="68" max="68" width="12.28515625" style="3" customWidth="1"/>
    <col min="69" max="16384" width="9.140625" style="3"/>
  </cols>
  <sheetData>
    <row r="2" spans="1:68" x14ac:dyDescent="0.2">
      <c r="A2" s="1">
        <v>1</v>
      </c>
      <c r="B2" s="57" t="s">
        <v>31</v>
      </c>
      <c r="K2" s="1">
        <v>2</v>
      </c>
      <c r="L2" s="57" t="s">
        <v>24</v>
      </c>
      <c r="W2" s="1">
        <v>3</v>
      </c>
      <c r="X2" s="2" t="s">
        <v>25</v>
      </c>
      <c r="AI2" s="1">
        <v>4</v>
      </c>
      <c r="AJ2" s="58" t="s">
        <v>26</v>
      </c>
      <c r="AU2" s="1">
        <v>5</v>
      </c>
      <c r="AV2" s="57" t="s">
        <v>27</v>
      </c>
      <c r="BG2" s="1">
        <v>6</v>
      </c>
      <c r="BH2" s="57" t="s">
        <v>28</v>
      </c>
    </row>
    <row r="3" spans="1:68" x14ac:dyDescent="0.2">
      <c r="AB3" s="48"/>
    </row>
    <row r="4" spans="1:68" x14ac:dyDescent="0.2">
      <c r="A4" s="30" t="s">
        <v>0</v>
      </c>
      <c r="B4" s="2" t="s">
        <v>1</v>
      </c>
      <c r="C4" s="2" t="s">
        <v>30</v>
      </c>
      <c r="D4" s="2" t="s">
        <v>29</v>
      </c>
      <c r="E4" s="2" t="s">
        <v>32</v>
      </c>
      <c r="F4" s="2" t="s">
        <v>33</v>
      </c>
      <c r="G4" s="2" t="s">
        <v>11</v>
      </c>
      <c r="H4" s="2" t="s">
        <v>12</v>
      </c>
      <c r="I4" s="2" t="s">
        <v>13</v>
      </c>
      <c r="L4" s="30" t="s">
        <v>9</v>
      </c>
      <c r="M4" s="2" t="s">
        <v>1</v>
      </c>
      <c r="N4" s="2" t="s">
        <v>30</v>
      </c>
      <c r="O4" s="2" t="s">
        <v>29</v>
      </c>
      <c r="P4" s="2" t="s">
        <v>32</v>
      </c>
      <c r="Q4" s="2" t="s">
        <v>33</v>
      </c>
      <c r="R4" s="2" t="s">
        <v>11</v>
      </c>
      <c r="S4" s="2" t="s">
        <v>12</v>
      </c>
      <c r="T4" s="2" t="s">
        <v>13</v>
      </c>
      <c r="X4" s="30" t="s">
        <v>10</v>
      </c>
      <c r="Y4" s="2" t="s">
        <v>1</v>
      </c>
      <c r="Z4" s="2" t="s">
        <v>30</v>
      </c>
      <c r="AA4" s="2" t="s">
        <v>29</v>
      </c>
      <c r="AB4" s="2" t="s">
        <v>32</v>
      </c>
      <c r="AC4" s="2" t="s">
        <v>33</v>
      </c>
      <c r="AD4" s="2" t="s">
        <v>11</v>
      </c>
      <c r="AE4" s="2" t="s">
        <v>12</v>
      </c>
      <c r="AF4" s="2" t="s">
        <v>13</v>
      </c>
      <c r="AJ4" s="30" t="s">
        <v>0</v>
      </c>
      <c r="AK4" s="2" t="s">
        <v>1</v>
      </c>
      <c r="AL4" s="2" t="s">
        <v>30</v>
      </c>
      <c r="AM4" s="2" t="s">
        <v>29</v>
      </c>
      <c r="AN4" s="2" t="s">
        <v>32</v>
      </c>
      <c r="AO4" s="2" t="s">
        <v>33</v>
      </c>
      <c r="AP4" s="2" t="s">
        <v>11</v>
      </c>
      <c r="AQ4" s="2" t="s">
        <v>12</v>
      </c>
      <c r="AR4" s="2" t="s">
        <v>13</v>
      </c>
      <c r="AV4" s="30" t="s">
        <v>0</v>
      </c>
      <c r="AW4" s="2" t="s">
        <v>1</v>
      </c>
      <c r="AX4" s="2" t="s">
        <v>30</v>
      </c>
      <c r="AY4" s="2" t="s">
        <v>29</v>
      </c>
      <c r="AZ4" s="2" t="s">
        <v>32</v>
      </c>
      <c r="BA4" s="2" t="s">
        <v>33</v>
      </c>
      <c r="BB4" s="2" t="s">
        <v>11</v>
      </c>
      <c r="BC4" s="2" t="s">
        <v>12</v>
      </c>
      <c r="BD4" s="2" t="s">
        <v>13</v>
      </c>
      <c r="BH4" s="30" t="s">
        <v>0</v>
      </c>
      <c r="BI4" s="2" t="s">
        <v>1</v>
      </c>
      <c r="BJ4" s="2" t="s">
        <v>30</v>
      </c>
      <c r="BK4" s="2" t="s">
        <v>29</v>
      </c>
      <c r="BL4" s="2" t="s">
        <v>32</v>
      </c>
      <c r="BM4" s="2" t="s">
        <v>33</v>
      </c>
      <c r="BN4" s="2" t="s">
        <v>11</v>
      </c>
      <c r="BO4" s="2" t="s">
        <v>12</v>
      </c>
      <c r="BP4" s="2" t="s">
        <v>13</v>
      </c>
    </row>
    <row r="5" spans="1:68" x14ac:dyDescent="0.2">
      <c r="A5" s="32">
        <v>42370</v>
      </c>
      <c r="B5" s="40">
        <v>1.9E-3</v>
      </c>
      <c r="C5" s="40">
        <v>1.0500000000000001E-2</v>
      </c>
      <c r="D5" s="40">
        <v>-5.4399999999999997E-2</v>
      </c>
      <c r="E5" s="40">
        <v>-6.9800000000000001E-2</v>
      </c>
      <c r="F5" s="40">
        <v>-9.1999999999999998E-2</v>
      </c>
      <c r="G5" s="40">
        <f>SUMPRODUCT($B5:$F5,Carteiras!$M$16:$Q$16)</f>
        <v>3.2399999999999998E-3</v>
      </c>
      <c r="H5" s="40">
        <f>SUMPRODUCT($B5:$F5,Carteiras!$M$17:$Q$17)</f>
        <v>-2.7084999999999998E-2</v>
      </c>
      <c r="I5" s="40">
        <f>SUMPRODUCT($B5:$F5,Carteiras!$M$18:$Q$18)</f>
        <v>-4.4594999999999996E-2</v>
      </c>
      <c r="K5" s="41"/>
      <c r="L5" s="42">
        <v>2016</v>
      </c>
      <c r="M5" s="40" cm="1">
        <f t="array" ref="M5">SUMPRODUCT(PRODUCT(B5:B16+1)-1)</f>
        <v>-0.25678815030912205</v>
      </c>
      <c r="N5" s="40">
        <f>SUMPRODUCT(PRODUCT(C5:C16+1)-1)</f>
        <v>0.13668034055897271</v>
      </c>
      <c r="O5" s="40" cm="1">
        <f t="array" ref="O5">SUMPRODUCT(PRODUCT(D5:D16+1)-1)</f>
        <v>-9.3444329168681506E-2</v>
      </c>
      <c r="P5" s="40" cm="1">
        <f t="array" ref="P5">SUMPRODUCT(PRODUCT(E5:E16+1)-1)</f>
        <v>0.3826040610559327</v>
      </c>
      <c r="Q5" s="40" cm="1">
        <f t="array" ref="Q5">SUMPRODUCT(PRODUCT(F5:F16+1)-1)</f>
        <v>0.30250269593745194</v>
      </c>
      <c r="R5" s="40">
        <f>SUMPRODUCT(PRODUCT(G5:G16+1)-1)</f>
        <v>0.13816718837368769</v>
      </c>
      <c r="S5" s="40">
        <f>SUMPRODUCT(PRODUCT(H5:H16+1)-1)</f>
        <v>0.14460680389121006</v>
      </c>
      <c r="T5" s="40">
        <f>SUMPRODUCT(PRODUCT(I5:I16+1)-1)</f>
        <v>8.8208045010683467E-2</v>
      </c>
      <c r="X5" s="42" t="s">
        <v>21</v>
      </c>
      <c r="Y5" s="40">
        <f t="shared" ref="Y5:AF5" si="0">SUMPRODUCT(PRODUCT(B5:B112+1)-1)</f>
        <v>6.5246385621467562E-2</v>
      </c>
      <c r="Z5" s="40">
        <f t="shared" si="0"/>
        <v>0.46195127532341296</v>
      </c>
      <c r="AA5" s="40">
        <f t="shared" si="0"/>
        <v>1.8400345232041735</v>
      </c>
      <c r="AB5" s="40">
        <f t="shared" si="0"/>
        <v>1.8781912726345866</v>
      </c>
      <c r="AC5" s="40">
        <f t="shared" si="0"/>
        <v>2.5956433995723671</v>
      </c>
      <c r="AD5" s="40">
        <f t="shared" si="0"/>
        <v>0.58471525539446279</v>
      </c>
      <c r="AE5" s="40">
        <f t="shared" si="0"/>
        <v>1.1474165809452099</v>
      </c>
      <c r="AF5" s="40">
        <f t="shared" si="0"/>
        <v>1.5523180180438461</v>
      </c>
      <c r="AJ5" s="32">
        <v>42370</v>
      </c>
      <c r="AK5" s="43">
        <v>100</v>
      </c>
      <c r="AL5" s="43">
        <v>100</v>
      </c>
      <c r="AM5" s="43">
        <v>100</v>
      </c>
      <c r="AN5" s="43">
        <v>100</v>
      </c>
      <c r="AO5" s="43">
        <v>100</v>
      </c>
      <c r="AP5" s="43">
        <v>100</v>
      </c>
      <c r="AQ5" s="43">
        <v>100</v>
      </c>
      <c r="AR5" s="43">
        <v>100</v>
      </c>
      <c r="AV5" s="31">
        <v>42705</v>
      </c>
      <c r="AW5" s="40" cm="1">
        <f t="array" ref="AW5">SUMPRODUCT(PRODUCT(B5:B16+1)-1)</f>
        <v>-0.25678815030912205</v>
      </c>
      <c r="AX5" s="40">
        <f t="shared" ref="AX5:AX36" si="1">SUMPRODUCT(PRODUCT(C5:C16+1)-1)</f>
        <v>0.13668034055897271</v>
      </c>
      <c r="AY5" s="40">
        <f t="shared" ref="AY5:AY36" si="2">SUMPRODUCT(PRODUCT(D5:D16+1)-1)</f>
        <v>-9.3444329168681506E-2</v>
      </c>
      <c r="AZ5" s="40">
        <f t="shared" ref="AZ5:AZ36" si="3">SUMPRODUCT(PRODUCT(E5:E16+1)-1)</f>
        <v>0.3826040610559327</v>
      </c>
      <c r="BA5" s="40">
        <f t="shared" ref="BA5:BA36" si="4">SUMPRODUCT(PRODUCT(F5:F16+1)-1)</f>
        <v>0.30250269593745194</v>
      </c>
      <c r="BB5" s="40">
        <f t="shared" ref="BB5:BB36" si="5">SUMPRODUCT(PRODUCT(G5:G16+1)-1)</f>
        <v>0.13816718837368769</v>
      </c>
      <c r="BC5" s="40">
        <f t="shared" ref="BC5:BC36" si="6">SUMPRODUCT(PRODUCT(H5:H16+1)-1)</f>
        <v>0.14460680389121006</v>
      </c>
      <c r="BD5" s="40">
        <f t="shared" ref="BD5:BD36" si="7">SUMPRODUCT(PRODUCT(I5:I16+1)-1)</f>
        <v>8.8208045010683467E-2</v>
      </c>
      <c r="BH5" s="31">
        <v>42705</v>
      </c>
      <c r="BI5" s="40">
        <f t="shared" ref="BI5:BI36" si="8">STDEV(B5:B16)*SQRT(12)</f>
        <v>0.18402429434477097</v>
      </c>
      <c r="BJ5" s="40">
        <f t="shared" ref="BJ5:BJ36" si="9">STDEV(C5:C16)*SQRT(12)</f>
        <v>1.9164360862620148E-3</v>
      </c>
      <c r="BK5" s="40">
        <f t="shared" ref="BK5:BK36" si="10">STDEV(D5:D16)*SQRT(12)</f>
        <v>0.20182318994605156</v>
      </c>
      <c r="BL5" s="40">
        <f t="shared" ref="BL5:BL36" si="11">STDEV(E5:E16)*SQRT(12)</f>
        <v>0.28599003161267383</v>
      </c>
      <c r="BM5" s="40">
        <f t="shared" ref="BM5:BM36" si="12">STDEV(F5:F16)*SQRT(12)</f>
        <v>0.26379893686463007</v>
      </c>
      <c r="BN5" s="40">
        <f t="shared" ref="BN5:BN36" si="13">STDEV(G5:G16)*SQRT(12)</f>
        <v>1.4117480138273443E-2</v>
      </c>
      <c r="BO5" s="40">
        <f t="shared" ref="BO5:BO36" si="14">STDEV(H5:H16)*SQRT(12)</f>
        <v>7.2483123553003681E-2</v>
      </c>
      <c r="BP5" s="40">
        <f t="shared" ref="BP5:BP36" si="15">STDEV(I5:I16)*SQRT(12)</f>
        <v>9.1206378764167179E-2</v>
      </c>
    </row>
    <row r="6" spans="1:68" x14ac:dyDescent="0.2">
      <c r="A6" s="32">
        <v>42401</v>
      </c>
      <c r="B6" s="40">
        <v>-2.5000000000000001E-3</v>
      </c>
      <c r="C6" s="40">
        <v>0.01</v>
      </c>
      <c r="D6" s="40">
        <v>9.7999999999999997E-3</v>
      </c>
      <c r="E6" s="40">
        <v>5.7700000000000001E-2</v>
      </c>
      <c r="F6" s="40">
        <v>5.1400000000000001E-2</v>
      </c>
      <c r="G6" s="40">
        <f>SUMPRODUCT($B6:$F6,Carteiras!$M$16:$Q$16)</f>
        <v>1.2375000000000002E-2</v>
      </c>
      <c r="H6" s="40">
        <f>SUMPRODUCT($B6:$F6,Carteiras!$M$17:$Q$17)</f>
        <v>2.2710000000000001E-2</v>
      </c>
      <c r="I6" s="40">
        <f>SUMPRODUCT($B6:$F6,Carteiras!$M$18:$Q$18)</f>
        <v>2.3495000000000002E-2</v>
      </c>
      <c r="K6" s="41"/>
      <c r="L6" s="42">
        <v>2017</v>
      </c>
      <c r="M6" s="40" cm="1">
        <f t="array" ref="M6">SUMPRODUCT(PRODUCT(B17:B28+1)-1)</f>
        <v>-5.0479162767392283E-2</v>
      </c>
      <c r="N6" s="40">
        <f>SUMPRODUCT(PRODUCT(C17:C28+1)-1)</f>
        <v>9.9666686854074538E-2</v>
      </c>
      <c r="O6" s="40" cm="1">
        <f t="array" ref="O6">SUMPRODUCT(PRODUCT(D17:D28+1)-1)</f>
        <v>0.23152636880933453</v>
      </c>
      <c r="P6" s="40" cm="1">
        <f t="array" ref="P6">SUMPRODUCT(PRODUCT(E17:E28+1)-1)</f>
        <v>0.26753541765455791</v>
      </c>
      <c r="Q6" s="40" cm="1">
        <f t="array" ref="Q6">SUMPRODUCT(PRODUCT(F17:F28+1)-1)</f>
        <v>0.49624003549888496</v>
      </c>
      <c r="R6" s="40">
        <f>SUMPRODUCT(PRODUCT(G17:G28+1)-1)</f>
        <v>0.11456863912074322</v>
      </c>
      <c r="S6" s="40">
        <f>SUMPRODUCT(PRODUCT(H17:H28+1)-1)</f>
        <v>0.19242155595517207</v>
      </c>
      <c r="T6" s="40">
        <f>SUMPRODUCT(PRODUCT(I17:I28+1)-1)</f>
        <v>0.2451983599456462</v>
      </c>
      <c r="X6" s="42" t="s">
        <v>7</v>
      </c>
      <c r="Y6" s="40">
        <f t="shared" ref="Y6:AF6" si="16">(1+AVERAGE(B5:B1011))^12-1</f>
        <v>2.5134207044708701E-2</v>
      </c>
      <c r="Z6" s="40">
        <f t="shared" si="16"/>
        <v>7.2690336093387486E-2</v>
      </c>
      <c r="AA6" s="40">
        <f t="shared" si="16"/>
        <v>0.23356360209453553</v>
      </c>
      <c r="AB6" s="40">
        <f t="shared" si="16"/>
        <v>0.25601543958970918</v>
      </c>
      <c r="AC6" s="40">
        <f t="shared" si="16"/>
        <v>0.31876947439957104</v>
      </c>
      <c r="AD6" s="40">
        <f t="shared" si="16"/>
        <v>8.8857542850517834E-2</v>
      </c>
      <c r="AE6" s="40">
        <f t="shared" si="16"/>
        <v>0.15469162149565263</v>
      </c>
      <c r="AF6" s="40">
        <f t="shared" si="16"/>
        <v>0.19454106501432378</v>
      </c>
      <c r="AJ6" s="32">
        <v>42401</v>
      </c>
      <c r="AK6" s="43">
        <f t="shared" ref="AK6:AK37" si="17">AK5*(1+B5)</f>
        <v>100.19</v>
      </c>
      <c r="AL6" s="43">
        <f t="shared" ref="AL6:AL37" si="18">AL5*(1+C5)</f>
        <v>101.05</v>
      </c>
      <c r="AM6" s="43">
        <f t="shared" ref="AM6:AM37" si="19">AM5*(1+D5)</f>
        <v>94.56</v>
      </c>
      <c r="AN6" s="43">
        <f t="shared" ref="AN6:AN37" si="20">AN5*(1+E5)</f>
        <v>93.02</v>
      </c>
      <c r="AO6" s="43">
        <f t="shared" ref="AO6:AO37" si="21">AO5*(1+F5)</f>
        <v>90.8</v>
      </c>
      <c r="AP6" s="43">
        <f t="shared" ref="AP6:AP37" si="22">AP5*(1+G5)</f>
        <v>100.32399999999998</v>
      </c>
      <c r="AQ6" s="43">
        <f t="shared" ref="AQ6:AQ37" si="23">AQ5*(1+H5)</f>
        <v>97.291499999999999</v>
      </c>
      <c r="AR6" s="43">
        <f t="shared" ref="AR6:AR37" si="24">AR5*(1+I5)</f>
        <v>95.540500000000009</v>
      </c>
      <c r="AV6" s="31">
        <v>42737</v>
      </c>
      <c r="AW6" s="40">
        <f t="shared" ref="AW6:AW37" si="25">SUMPRODUCT(PRODUCT(B6:B17+1)-1)</f>
        <v>-0.28831475337515888</v>
      </c>
      <c r="AX6" s="40">
        <f t="shared" si="1"/>
        <v>0.13701780132311647</v>
      </c>
      <c r="AY6" s="40">
        <f t="shared" si="2"/>
        <v>-6.1519303958568416E-2</v>
      </c>
      <c r="AZ6" s="40">
        <f t="shared" si="3"/>
        <v>0.5923282418933784</v>
      </c>
      <c r="BA6" s="40">
        <f t="shared" si="4"/>
        <v>0.60417264853177621</v>
      </c>
      <c r="BB6" s="40">
        <f t="shared" si="5"/>
        <v>0.14836626638441297</v>
      </c>
      <c r="BC6" s="40">
        <f t="shared" si="6"/>
        <v>0.21017156256062886</v>
      </c>
      <c r="BD6" s="40">
        <f t="shared" si="7"/>
        <v>0.17472662414624551</v>
      </c>
      <c r="BH6" s="31">
        <v>42737</v>
      </c>
      <c r="BI6" s="40">
        <f t="shared" si="8"/>
        <v>0.18263440878631623</v>
      </c>
      <c r="BJ6" s="40">
        <f t="shared" si="9"/>
        <v>1.8999999999999991E-3</v>
      </c>
      <c r="BK6" s="40">
        <f t="shared" si="10"/>
        <v>0.19587596028655943</v>
      </c>
      <c r="BL6" s="40">
        <f t="shared" si="11"/>
        <v>0.26618129672701035</v>
      </c>
      <c r="BM6" s="40">
        <f t="shared" si="12"/>
        <v>0.24533542159849053</v>
      </c>
      <c r="BN6" s="40">
        <f t="shared" si="13"/>
        <v>1.1438544885207607E-2</v>
      </c>
      <c r="BO6" s="40">
        <f t="shared" si="14"/>
        <v>6.0547123571043998E-2</v>
      </c>
      <c r="BP6" s="40">
        <f t="shared" si="15"/>
        <v>7.3987219780912772E-2</v>
      </c>
    </row>
    <row r="7" spans="1:68" x14ac:dyDescent="0.2">
      <c r="A7" s="32">
        <v>42430</v>
      </c>
      <c r="B7" s="40">
        <v>-0.11119999999999999</v>
      </c>
      <c r="C7" s="40">
        <v>0.01</v>
      </c>
      <c r="D7" s="40">
        <v>-4.8399999999999999E-2</v>
      </c>
      <c r="E7" s="40">
        <v>0.17349999999999999</v>
      </c>
      <c r="F7" s="40">
        <v>0.11600000000000001</v>
      </c>
      <c r="G7" s="40">
        <f>SUMPRODUCT($B7:$F7,Carteiras!$M$16:$Q$16)</f>
        <v>1.5255000000000001E-2</v>
      </c>
      <c r="H7" s="40">
        <f>SUMPRODUCT($B7:$F7,Carteiras!$M$17:$Q$17)</f>
        <v>3.5604999999999998E-2</v>
      </c>
      <c r="I7" s="40">
        <f>SUMPRODUCT($B7:$F7,Carteiras!$M$18:$Q$18)</f>
        <v>2.0334999999999999E-2</v>
      </c>
      <c r="K7" s="41"/>
      <c r="L7" s="42">
        <v>2018</v>
      </c>
      <c r="M7" s="40" cm="1">
        <f t="array" ref="M7">SUMPRODUCT(PRODUCT(B29:B40+1)-1)</f>
        <v>0.12774146795144947</v>
      </c>
      <c r="N7" s="40">
        <f>SUMPRODUCT(PRODUCT(C29:C40+1)-1)</f>
        <v>6.4109288322332647E-2</v>
      </c>
      <c r="O7" s="40" cm="1">
        <f t="array" ref="O7">SUMPRODUCT(PRODUCT(D29:D40+1)-1)</f>
        <v>9.7755460376396819E-2</v>
      </c>
      <c r="P7" s="40" cm="1">
        <f t="array" ref="P7">SUMPRODUCT(PRODUCT(E29:E40+1)-1)</f>
        <v>0.14605035958794055</v>
      </c>
      <c r="Q7" s="40" cm="1">
        <f t="array" ref="Q7">SUMPRODUCT(PRODUCT(F29:F40+1)-1)</f>
        <v>7.5305498494285805E-2</v>
      </c>
      <c r="R7" s="40">
        <f>SUMPRODUCT(PRODUCT(G29:G40+1)-1)</f>
        <v>7.2481117001129691E-2</v>
      </c>
      <c r="S7" s="40">
        <f>SUMPRODUCT(PRODUCT(H29:H40+1)-1)</f>
        <v>9.7214673996612433E-2</v>
      </c>
      <c r="T7" s="40">
        <f>SUMPRODUCT(PRODUCT(I29:I40+1)-1)</f>
        <v>0.104361743959138</v>
      </c>
      <c r="X7" s="42" t="s">
        <v>8</v>
      </c>
      <c r="Y7" s="40">
        <f t="shared" ref="Y7:AF7" si="26">(1+Y5)^(12/COUNTA(B5:B1011))-1</f>
        <v>1.1737168516415597E-2</v>
      </c>
      <c r="Z7" s="40">
        <f t="shared" si="26"/>
        <v>7.2628051472066746E-2</v>
      </c>
      <c r="AA7" s="40">
        <f t="shared" si="26"/>
        <v>0.21252447687201448</v>
      </c>
      <c r="AB7" s="40">
        <f t="shared" si="26"/>
        <v>0.21551563961962805</v>
      </c>
      <c r="AC7" s="40">
        <f t="shared" si="26"/>
        <v>0.26649918106437975</v>
      </c>
      <c r="AD7" s="40">
        <f t="shared" si="26"/>
        <v>8.8714669834523141E-2</v>
      </c>
      <c r="AE7" s="40">
        <f t="shared" si="26"/>
        <v>0.151534239645994</v>
      </c>
      <c r="AF7" s="40">
        <f t="shared" si="26"/>
        <v>0.18884824799703348</v>
      </c>
      <c r="AJ7" s="32">
        <v>42430</v>
      </c>
      <c r="AK7" s="43">
        <f t="shared" si="17"/>
        <v>99.939525000000003</v>
      </c>
      <c r="AL7" s="43">
        <f t="shared" si="18"/>
        <v>102.0605</v>
      </c>
      <c r="AM7" s="43">
        <f t="shared" si="19"/>
        <v>95.486688000000001</v>
      </c>
      <c r="AN7" s="43">
        <f t="shared" si="20"/>
        <v>98.387253999999999</v>
      </c>
      <c r="AO7" s="43">
        <f t="shared" si="21"/>
        <v>95.467120000000008</v>
      </c>
      <c r="AP7" s="43">
        <f t="shared" si="22"/>
        <v>101.56550949999999</v>
      </c>
      <c r="AQ7" s="43">
        <f t="shared" si="23"/>
        <v>99.500989965000002</v>
      </c>
      <c r="AR7" s="43">
        <f t="shared" si="24"/>
        <v>97.785224047500009</v>
      </c>
      <c r="AV7" s="31">
        <v>42767</v>
      </c>
      <c r="AW7" s="40">
        <f t="shared" si="25"/>
        <v>-0.2988027464833144</v>
      </c>
      <c r="AX7" s="40">
        <f t="shared" si="1"/>
        <v>0.13544173704405482</v>
      </c>
      <c r="AY7" s="40">
        <f t="shared" si="2"/>
        <v>-4.451178094652819E-2</v>
      </c>
      <c r="AZ7" s="40">
        <f t="shared" si="3"/>
        <v>0.55634767558794995</v>
      </c>
      <c r="BA7" s="40">
        <f t="shared" si="4"/>
        <v>0.60890247087384242</v>
      </c>
      <c r="BB7" s="40">
        <f t="shared" si="5"/>
        <v>0.14661939980806382</v>
      </c>
      <c r="BC7" s="40">
        <f t="shared" si="6"/>
        <v>0.20802979164977908</v>
      </c>
      <c r="BD7" s="40">
        <f t="shared" si="7"/>
        <v>0.1786347469560472</v>
      </c>
      <c r="BH7" s="31">
        <v>42767</v>
      </c>
      <c r="BI7" s="40">
        <f t="shared" si="8"/>
        <v>0.18110198784110568</v>
      </c>
      <c r="BJ7" s="40">
        <f t="shared" si="9"/>
        <v>2.8082670165715429E-3</v>
      </c>
      <c r="BK7" s="40">
        <f t="shared" si="10"/>
        <v>0.19810508689719569</v>
      </c>
      <c r="BL7" s="40">
        <f t="shared" si="11"/>
        <v>0.26573156653763486</v>
      </c>
      <c r="BM7" s="40">
        <f t="shared" si="12"/>
        <v>0.2454790252102648</v>
      </c>
      <c r="BN7" s="40">
        <f t="shared" si="13"/>
        <v>1.142838173543871E-2</v>
      </c>
      <c r="BO7" s="40">
        <f t="shared" si="14"/>
        <v>6.0360309957635368E-2</v>
      </c>
      <c r="BP7" s="40">
        <f t="shared" si="15"/>
        <v>7.4554487502887304E-2</v>
      </c>
    </row>
    <row r="8" spans="1:68" x14ac:dyDescent="0.2">
      <c r="A8" s="32">
        <v>42461</v>
      </c>
      <c r="B8" s="40">
        <v>-5.0299999999999997E-2</v>
      </c>
      <c r="C8" s="40">
        <v>1.0500000000000001E-2</v>
      </c>
      <c r="D8" s="40">
        <v>-4.0399999999999998E-2</v>
      </c>
      <c r="E8" s="40">
        <v>7.22E-2</v>
      </c>
      <c r="F8" s="40">
        <v>5.4199999999999998E-2</v>
      </c>
      <c r="G8" s="40">
        <f>SUMPRODUCT($B8:$F8,Carteiras!$M$16:$Q$16)</f>
        <v>1.1040000000000001E-2</v>
      </c>
      <c r="H8" s="40">
        <f>SUMPRODUCT($B8:$F8,Carteiras!$M$17:$Q$17)</f>
        <v>1.5635E-2</v>
      </c>
      <c r="I8" s="40">
        <f>SUMPRODUCT($B8:$F8,Carteiras!$M$18:$Q$18)</f>
        <v>5.3450000000000025E-3</v>
      </c>
      <c r="K8" s="41"/>
      <c r="L8" s="42">
        <v>2019</v>
      </c>
      <c r="M8" s="40" cm="1">
        <f t="array" ref="M8">SUMPRODUCT(PRODUCT(B41:B52+1)-1)</f>
        <v>1.0700899998057345E-2</v>
      </c>
      <c r="N8" s="40" cm="1">
        <f t="array" ref="N8">SUMPRODUCT(PRODUCT(C41:C52+1)-1)</f>
        <v>5.9459403577294401E-2</v>
      </c>
      <c r="O8" s="40" cm="1">
        <f t="array" ref="O8">SUMPRODUCT(PRODUCT(D41:D52+1)-1)</f>
        <v>0.35055875934680514</v>
      </c>
      <c r="P8" s="40" cm="1">
        <f t="array" ref="P8">SUMPRODUCT(PRODUCT(E41:E52+1)-1)</f>
        <v>0.3146646796982091</v>
      </c>
      <c r="Q8" s="40" cm="1">
        <f t="array" ref="Q8">SUMPRODUCT(PRODUCT(F41:F52+1)-1)</f>
        <v>0.56718649159061152</v>
      </c>
      <c r="R8" s="40">
        <f>SUMPRODUCT(PRODUCT(G41:G52+1)-1)</f>
        <v>8.5233920786208506E-2</v>
      </c>
      <c r="S8" s="40">
        <f>SUMPRODUCT(PRODUCT(H41:H52+1)-1)</f>
        <v>0.20684351040802262</v>
      </c>
      <c r="T8" s="40">
        <f>SUMPRODUCT(PRODUCT(I41:I52+1)-1)</f>
        <v>0.29881904119177838</v>
      </c>
      <c r="X8" s="42" t="s">
        <v>3</v>
      </c>
      <c r="Y8" s="40">
        <f t="shared" ref="Y8:AF8" si="27">STDEV(B5:B1011)*SQRT(12)</f>
        <v>0.16361411984159085</v>
      </c>
      <c r="Z8" s="40">
        <f t="shared" si="27"/>
        <v>1.0928305695972045E-2</v>
      </c>
      <c r="AA8" s="40">
        <f t="shared" si="27"/>
        <v>0.18958046850469998</v>
      </c>
      <c r="AB8" s="40">
        <f t="shared" si="27"/>
        <v>0.25261120647076479</v>
      </c>
      <c r="AC8" s="40">
        <f t="shared" si="27"/>
        <v>0.27495051334460446</v>
      </c>
      <c r="AD8" s="40">
        <f t="shared" si="27"/>
        <v>1.6421044009019458E-2</v>
      </c>
      <c r="AE8" s="40">
        <f t="shared" si="27"/>
        <v>7.4695573126280113E-2</v>
      </c>
      <c r="AF8" s="40">
        <f t="shared" si="27"/>
        <v>9.925293597817883E-2</v>
      </c>
      <c r="AJ8" s="32">
        <v>42461</v>
      </c>
      <c r="AK8" s="43">
        <f t="shared" si="17"/>
        <v>88.826249820000001</v>
      </c>
      <c r="AL8" s="43">
        <f t="shared" si="18"/>
        <v>103.08110500000001</v>
      </c>
      <c r="AM8" s="43">
        <f t="shared" si="19"/>
        <v>90.865132300799999</v>
      </c>
      <c r="AN8" s="43">
        <f t="shared" si="20"/>
        <v>115.45744256899999</v>
      </c>
      <c r="AO8" s="43">
        <f t="shared" si="21"/>
        <v>106.54130592000001</v>
      </c>
      <c r="AP8" s="43">
        <f t="shared" si="22"/>
        <v>103.11489134742249</v>
      </c>
      <c r="AQ8" s="43">
        <f t="shared" si="23"/>
        <v>103.04372271270381</v>
      </c>
      <c r="AR8" s="43">
        <f t="shared" si="24"/>
        <v>99.773686578505917</v>
      </c>
      <c r="AV8" s="31">
        <v>42795</v>
      </c>
      <c r="AW8" s="40">
        <f t="shared" si="25"/>
        <v>-0.21580775203016944</v>
      </c>
      <c r="AX8" s="40">
        <f t="shared" si="1"/>
        <v>0.13600383691387874</v>
      </c>
      <c r="AY8" s="40">
        <f t="shared" si="2"/>
        <v>4.7888406965206354E-3</v>
      </c>
      <c r="AZ8" s="40">
        <f t="shared" si="3"/>
        <v>0.29083356851278364</v>
      </c>
      <c r="BA8" s="40">
        <f t="shared" si="4"/>
        <v>0.41845801173187525</v>
      </c>
      <c r="BB8" s="40">
        <f t="shared" si="5"/>
        <v>0.13859507997153342</v>
      </c>
      <c r="BC8" s="40">
        <f t="shared" si="6"/>
        <v>0.16490440948448271</v>
      </c>
      <c r="BD8" s="40">
        <f t="shared" si="7"/>
        <v>0.15060515654222373</v>
      </c>
      <c r="BH8" s="31">
        <v>42795</v>
      </c>
      <c r="BI8" s="40">
        <f t="shared" si="8"/>
        <v>0.15726397899998934</v>
      </c>
      <c r="BJ8" s="40">
        <f t="shared" si="9"/>
        <v>2.7269696801328091E-3</v>
      </c>
      <c r="BK8" s="40">
        <f t="shared" si="10"/>
        <v>0.19161441158553999</v>
      </c>
      <c r="BL8" s="40">
        <f t="shared" si="11"/>
        <v>0.22902686622871443</v>
      </c>
      <c r="BM8" s="40">
        <f t="shared" si="12"/>
        <v>0.23784860731145768</v>
      </c>
      <c r="BN8" s="40">
        <f t="shared" si="13"/>
        <v>1.106527851598701E-2</v>
      </c>
      <c r="BO8" s="40">
        <f t="shared" si="14"/>
        <v>5.8562612569019575E-2</v>
      </c>
      <c r="BP8" s="40">
        <f t="shared" si="15"/>
        <v>7.6233988482828294E-2</v>
      </c>
    </row>
    <row r="9" spans="1:68" x14ac:dyDescent="0.2">
      <c r="A9" s="32">
        <v>42492</v>
      </c>
      <c r="B9" s="40">
        <v>4.3700000000000003E-2</v>
      </c>
      <c r="C9" s="40">
        <v>1.0500000000000001E-2</v>
      </c>
      <c r="D9" s="40">
        <v>6.9500000000000006E-2</v>
      </c>
      <c r="E9" s="40">
        <v>-9.8400000000000001E-2</v>
      </c>
      <c r="F9" s="40">
        <v>-5.1200000000000002E-2</v>
      </c>
      <c r="G9" s="40">
        <f>SUMPRODUCT($B9:$F9,Carteiras!$M$16:$Q$16)</f>
        <v>8.005E-3</v>
      </c>
      <c r="H9" s="40">
        <f>SUMPRODUCT($B9:$F9,Carteiras!$M$17:$Q$17)</f>
        <v>-4.5799999999999981E-3</v>
      </c>
      <c r="I9" s="40">
        <f>SUMPRODUCT($B9:$F9,Carteiras!$M$18:$Q$18)</f>
        <v>7.5650000000000005E-3</v>
      </c>
      <c r="K9" s="41"/>
      <c r="L9" s="42">
        <v>2020</v>
      </c>
      <c r="M9" s="40" cm="1">
        <f t="array" ref="M9">SUMPRODUCT(PRODUCT(B53:B64+1)-1)</f>
        <v>0.32743670983970308</v>
      </c>
      <c r="N9" s="40" cm="1">
        <f t="array" ref="N9">SUMPRODUCT(PRODUCT(C53:C64+1)-1)</f>
        <v>2.7538157821054732E-2</v>
      </c>
      <c r="O9" s="40" cm="1">
        <f t="array" ref="O9">SUMPRODUCT(PRODUCT(D53:D64+1)-1)</f>
        <v>0.51425531541429037</v>
      </c>
      <c r="P9" s="40" cm="1">
        <f t="array" ref="P9">SUMPRODUCT(PRODUCT(E53:E64+1)-1)</f>
        <v>3.0806948815142343E-2</v>
      </c>
      <c r="Q9" s="40" cm="1">
        <f t="array" ref="Q9">SUMPRODUCT(PRODUCT(F53:F64+1)-1)</f>
        <v>-8.2873993881954489E-3</v>
      </c>
      <c r="R9" s="40">
        <f>SUMPRODUCT(PRODUCT(G53:G64+1)-1)</f>
        <v>5.4025761279742346E-2</v>
      </c>
      <c r="S9" s="40">
        <f>SUMPRODUCT(PRODUCT(H53:H64+1)-1)</f>
        <v>0.13181154764236558</v>
      </c>
      <c r="T9" s="40">
        <f>SUMPRODUCT(PRODUCT(I53:I64+1)-1)</f>
        <v>0.21852050870438267</v>
      </c>
      <c r="X9" s="42" t="s">
        <v>6</v>
      </c>
      <c r="Y9" s="43">
        <f>(Y7-$Z$7)/Y8</f>
        <v>-0.3721615409147141</v>
      </c>
      <c r="Z9" s="43">
        <f t="shared" ref="Z9:AF9" si="28">(Z7-$Z$7)/Z8</f>
        <v>0</v>
      </c>
      <c r="AA9" s="43">
        <f t="shared" si="28"/>
        <v>0.73792636184185556</v>
      </c>
      <c r="AB9" s="43">
        <f t="shared" si="28"/>
        <v>0.5656423170762932</v>
      </c>
      <c r="AC9" s="43">
        <f t="shared" si="28"/>
        <v>0.70511281188018005</v>
      </c>
      <c r="AD9" s="43">
        <f t="shared" si="28"/>
        <v>0.9796343249321191</v>
      </c>
      <c r="AE9" s="43">
        <f t="shared" si="28"/>
        <v>1.0563703425975284</v>
      </c>
      <c r="AF9" s="43">
        <f t="shared" si="28"/>
        <v>1.1709497092410266</v>
      </c>
      <c r="AJ9" s="32">
        <v>42492</v>
      </c>
      <c r="AK9" s="43">
        <f t="shared" si="17"/>
        <v>84.358289454054002</v>
      </c>
      <c r="AL9" s="43">
        <f t="shared" si="18"/>
        <v>104.16345660250001</v>
      </c>
      <c r="AM9" s="43">
        <f t="shared" si="19"/>
        <v>87.194180955847685</v>
      </c>
      <c r="AN9" s="43">
        <f t="shared" si="20"/>
        <v>123.7934699224818</v>
      </c>
      <c r="AO9" s="43">
        <f t="shared" si="21"/>
        <v>112.31584470086402</v>
      </c>
      <c r="AP9" s="43">
        <f t="shared" si="22"/>
        <v>104.25327974789802</v>
      </c>
      <c r="AQ9" s="43">
        <f t="shared" si="23"/>
        <v>104.65481131731694</v>
      </c>
      <c r="AR9" s="43">
        <f t="shared" si="24"/>
        <v>100.30697693326802</v>
      </c>
      <c r="AV9" s="31">
        <v>42828</v>
      </c>
      <c r="AW9" s="40">
        <f t="shared" si="25"/>
        <v>-0.16502558581963489</v>
      </c>
      <c r="AX9" s="40">
        <f t="shared" si="1"/>
        <v>0.13308091759079521</v>
      </c>
      <c r="AY9" s="40">
        <f t="shared" si="2"/>
        <v>7.9969998222583882E-2</v>
      </c>
      <c r="AZ9" s="40">
        <f t="shared" si="3"/>
        <v>0.21173660390609594</v>
      </c>
      <c r="BA9" s="40">
        <f t="shared" si="4"/>
        <v>0.39114374722973499</v>
      </c>
      <c r="BB9" s="40">
        <f t="shared" si="5"/>
        <v>0.1363033397953366</v>
      </c>
      <c r="BC9" s="40">
        <f t="shared" si="6"/>
        <v>0.16449723459845811</v>
      </c>
      <c r="BD9" s="40">
        <f t="shared" si="7"/>
        <v>0.17082253474604236</v>
      </c>
      <c r="BH9" s="31">
        <v>42828</v>
      </c>
      <c r="BI9" s="40">
        <f t="shared" si="8"/>
        <v>0.15596275779230701</v>
      </c>
      <c r="BJ9" s="40">
        <f t="shared" si="9"/>
        <v>3.9033784900216412E-3</v>
      </c>
      <c r="BK9" s="40">
        <f t="shared" si="10"/>
        <v>0.18777432054076365</v>
      </c>
      <c r="BL9" s="40">
        <f t="shared" si="11"/>
        <v>0.22312884781505218</v>
      </c>
      <c r="BM9" s="40">
        <f t="shared" si="12"/>
        <v>0.23661210873495045</v>
      </c>
      <c r="BN9" s="40">
        <f t="shared" si="13"/>
        <v>1.1219151645127347E-2</v>
      </c>
      <c r="BO9" s="40">
        <f t="shared" si="14"/>
        <v>5.8545792547372688E-2</v>
      </c>
      <c r="BP9" s="40">
        <f t="shared" si="15"/>
        <v>7.6603792141476543E-2</v>
      </c>
    </row>
    <row r="10" spans="1:68" x14ac:dyDescent="0.2">
      <c r="A10" s="32">
        <v>42522</v>
      </c>
      <c r="B10" s="40">
        <v>-0.12039999999999999</v>
      </c>
      <c r="C10" s="40">
        <v>1.1599999999999999E-2</v>
      </c>
      <c r="D10" s="40">
        <v>-0.1109</v>
      </c>
      <c r="E10" s="40">
        <v>6.13E-2</v>
      </c>
      <c r="F10" s="40">
        <v>9.4700000000000006E-2</v>
      </c>
      <c r="G10" s="40">
        <f>SUMPRODUCT($B10:$F10,Carteiras!$M$16:$Q$16)</f>
        <v>7.9599999999999983E-3</v>
      </c>
      <c r="H10" s="40">
        <f>SUMPRODUCT($B10:$F10,Carteiras!$M$17:$Q$17)</f>
        <v>6.5449999999999987E-3</v>
      </c>
      <c r="I10" s="40">
        <f>SUMPRODUCT($B10:$F10,Carteiras!$M$18:$Q$18)</f>
        <v>-1.0935000000000004E-2</v>
      </c>
      <c r="K10" s="41"/>
      <c r="L10" s="42">
        <v>2021</v>
      </c>
      <c r="M10" s="40" cm="1">
        <f t="array" ref="M10">SUMPRODUCT(PRODUCT(B65:B76+1)-1)</f>
        <v>-2.3299890830075221E-3</v>
      </c>
      <c r="N10" s="40">
        <f>SUMPRODUCT(PRODUCT(C65:C76+1)-1)</f>
        <v>9.6363274175506053E-3</v>
      </c>
      <c r="O10" s="40" cm="1">
        <f t="array" ref="O10">SUMPRODUCT(PRODUCT(D65:D76+1)-1)</f>
        <v>0.13309736194704902</v>
      </c>
      <c r="P10" s="40" cm="1">
        <f t="array" ref="P10">SUMPRODUCT(PRODUCT(E65:E76+1)-1)</f>
        <v>5.7464230682099826E-2</v>
      </c>
      <c r="Q10" s="40" cm="1">
        <f t="array" ref="Q10">SUMPRODUCT(PRODUCT(F65:F76+1)-1)</f>
        <v>0.10397270072408005</v>
      </c>
      <c r="R10" s="40">
        <f>SUMPRODUCT(PRODUCT(G65:G76+1)-1)</f>
        <v>1.8296189131157714E-2</v>
      </c>
      <c r="S10" s="40">
        <f>SUMPRODUCT(PRODUCT(H65:H76+1)-1)</f>
        <v>4.9816691082287257E-2</v>
      </c>
      <c r="T10" s="40">
        <f>SUMPRODUCT(PRODUCT(I65:I76+1)-1)</f>
        <v>7.7684087053663031E-2</v>
      </c>
      <c r="X10" s="42" t="s">
        <v>22</v>
      </c>
      <c r="Y10" s="40">
        <f t="shared" ref="Y10:AF10" si="29">MAX(B5:B1024)</f>
        <v>0.1578</v>
      </c>
      <c r="Z10" s="40">
        <f t="shared" si="29"/>
        <v>1.1599999999999999E-2</v>
      </c>
      <c r="AA10" s="40">
        <f t="shared" si="29"/>
        <v>0.17899999999999999</v>
      </c>
      <c r="AB10" s="40">
        <f t="shared" si="29"/>
        <v>0.17349999999999999</v>
      </c>
      <c r="AC10" s="40">
        <f t="shared" si="29"/>
        <v>0.17530000000000001</v>
      </c>
      <c r="AD10" s="40">
        <f t="shared" si="29"/>
        <v>1.8585000000000001E-2</v>
      </c>
      <c r="AE10" s="40">
        <f t="shared" si="29"/>
        <v>7.020499999999999E-2</v>
      </c>
      <c r="AF10" s="40">
        <f t="shared" si="29"/>
        <v>0.109985</v>
      </c>
      <c r="AJ10" s="32">
        <v>42522</v>
      </c>
      <c r="AK10" s="43">
        <f t="shared" si="17"/>
        <v>88.044746703196168</v>
      </c>
      <c r="AL10" s="43">
        <f t="shared" si="18"/>
        <v>105.25717289682625</v>
      </c>
      <c r="AM10" s="43">
        <f t="shared" si="19"/>
        <v>93.254176532279104</v>
      </c>
      <c r="AN10" s="43">
        <f t="shared" si="20"/>
        <v>111.61219248210959</v>
      </c>
      <c r="AO10" s="43">
        <f t="shared" si="21"/>
        <v>106.56527345217978</v>
      </c>
      <c r="AP10" s="43">
        <f t="shared" si="22"/>
        <v>105.08782725227995</v>
      </c>
      <c r="AQ10" s="43">
        <f t="shared" si="23"/>
        <v>104.17549228148363</v>
      </c>
      <c r="AR10" s="43">
        <f t="shared" si="24"/>
        <v>101.0657992137682</v>
      </c>
      <c r="AV10" s="31">
        <v>42857</v>
      </c>
      <c r="AW10" s="40">
        <f t="shared" si="25"/>
        <v>-0.19366608024107501</v>
      </c>
      <c r="AX10" s="40">
        <f t="shared" si="1"/>
        <v>0.13173534896030681</v>
      </c>
      <c r="AY10" s="40">
        <f t="shared" si="2"/>
        <v>4.1295055789741131E-2</v>
      </c>
      <c r="AZ10" s="40">
        <f t="shared" si="3"/>
        <v>0.28807493476442181</v>
      </c>
      <c r="BA10" s="40">
        <f t="shared" si="4"/>
        <v>0.45448418766009357</v>
      </c>
      <c r="BB10" s="40">
        <f t="shared" si="5"/>
        <v>0.13612861147784971</v>
      </c>
      <c r="BC10" s="40">
        <f t="shared" si="6"/>
        <v>0.17252829034931527</v>
      </c>
      <c r="BD10" s="40">
        <f t="shared" si="7"/>
        <v>0.17132220840475543</v>
      </c>
      <c r="BH10" s="31">
        <v>42857</v>
      </c>
      <c r="BI10" s="40">
        <f t="shared" si="8"/>
        <v>0.14526882916604208</v>
      </c>
      <c r="BJ10" s="40">
        <f t="shared" si="9"/>
        <v>4.0729707719416438E-3</v>
      </c>
      <c r="BK10" s="40">
        <f t="shared" si="10"/>
        <v>0.17767811549899082</v>
      </c>
      <c r="BL10" s="40">
        <f t="shared" si="11"/>
        <v>0.19643460859671713</v>
      </c>
      <c r="BM10" s="40">
        <f t="shared" si="12"/>
        <v>0.22405800182501445</v>
      </c>
      <c r="BN10" s="40">
        <f t="shared" si="13"/>
        <v>1.1260913393439514E-2</v>
      </c>
      <c r="BO10" s="40">
        <f t="shared" si="14"/>
        <v>5.668267524321053E-2</v>
      </c>
      <c r="BP10" s="40">
        <f t="shared" si="15"/>
        <v>7.6568971566935512E-2</v>
      </c>
    </row>
    <row r="11" spans="1:68" x14ac:dyDescent="0.2">
      <c r="A11" s="32">
        <v>42552</v>
      </c>
      <c r="B11" s="40">
        <v>3.0999999999999999E-3</v>
      </c>
      <c r="C11" s="40">
        <v>1.1599999999999999E-2</v>
      </c>
      <c r="D11" s="40">
        <v>4.7100000000000003E-2</v>
      </c>
      <c r="E11" s="40">
        <v>0.1158</v>
      </c>
      <c r="F11" s="40">
        <v>0.14549999999999999</v>
      </c>
      <c r="G11" s="40">
        <f>SUMPRODUCT($B11:$F11,Carteiras!$M$16:$Q$16)</f>
        <v>1.8585000000000001E-2</v>
      </c>
      <c r="H11" s="40">
        <f>SUMPRODUCT($B11:$F11,Carteiras!$M$17:$Q$17)</f>
        <v>5.2214999999999998E-2</v>
      </c>
      <c r="I11" s="40">
        <f>SUMPRODUCT($B11:$F11,Carteiras!$M$18:$Q$18)</f>
        <v>6.6779999999999992E-2</v>
      </c>
      <c r="L11" s="3"/>
      <c r="M11" s="40"/>
      <c r="N11" s="40"/>
      <c r="O11" s="40"/>
      <c r="P11" s="40"/>
      <c r="Q11" s="40"/>
      <c r="R11" s="40"/>
      <c r="S11" s="40"/>
      <c r="T11" s="40"/>
      <c r="X11" s="42" t="s">
        <v>23</v>
      </c>
      <c r="Y11" s="40">
        <f t="shared" ref="Y11:AF11" si="30">MIN(B5:B1024)</f>
        <v>-0.12039999999999999</v>
      </c>
      <c r="Z11" s="40">
        <f t="shared" si="30"/>
        <v>1.2999999999999999E-3</v>
      </c>
      <c r="AA11" s="40">
        <f t="shared" si="30"/>
        <v>-0.13819999999999999</v>
      </c>
      <c r="AB11" s="40">
        <f t="shared" si="30"/>
        <v>-0.31059999999999999</v>
      </c>
      <c r="AC11" s="40">
        <f t="shared" si="30"/>
        <v>-0.37480000000000002</v>
      </c>
      <c r="AD11" s="40">
        <f t="shared" si="30"/>
        <v>-1.1390000000000001E-2</v>
      </c>
      <c r="AE11" s="40">
        <f t="shared" si="30"/>
        <v>-8.9980000000000004E-2</v>
      </c>
      <c r="AF11" s="40">
        <f t="shared" si="30"/>
        <v>-0.10485999999999999</v>
      </c>
      <c r="AJ11" s="32">
        <v>42552</v>
      </c>
      <c r="AK11" s="43">
        <f t="shared" si="17"/>
        <v>77.444159200131352</v>
      </c>
      <c r="AL11" s="43">
        <f t="shared" si="18"/>
        <v>106.47815610242944</v>
      </c>
      <c r="AM11" s="43">
        <f t="shared" si="19"/>
        <v>82.912288354849352</v>
      </c>
      <c r="AN11" s="43">
        <f t="shared" si="20"/>
        <v>118.45401988126289</v>
      </c>
      <c r="AO11" s="43">
        <f t="shared" si="21"/>
        <v>116.65700484810121</v>
      </c>
      <c r="AP11" s="43">
        <f t="shared" si="22"/>
        <v>105.9243263572081</v>
      </c>
      <c r="AQ11" s="43">
        <f t="shared" si="23"/>
        <v>104.85732087846594</v>
      </c>
      <c r="AR11" s="43">
        <f t="shared" si="24"/>
        <v>99.960644699365645</v>
      </c>
      <c r="AV11" s="31">
        <v>42887</v>
      </c>
      <c r="AW11" s="40">
        <f t="shared" si="25"/>
        <v>-6.7069088064281801E-2</v>
      </c>
      <c r="AX11" s="40">
        <f t="shared" si="1"/>
        <v>0.1278196968039591</v>
      </c>
      <c r="AY11" s="40">
        <f t="shared" si="2"/>
        <v>0.20771956082598253</v>
      </c>
      <c r="AZ11" s="40">
        <f t="shared" si="3"/>
        <v>0.22107998856730915</v>
      </c>
      <c r="BA11" s="40">
        <f t="shared" si="4"/>
        <v>0.32972300631243412</v>
      </c>
      <c r="BB11" s="40">
        <f t="shared" si="5"/>
        <v>0.13747556343101852</v>
      </c>
      <c r="BC11" s="40">
        <f t="shared" si="6"/>
        <v>0.17731022124349693</v>
      </c>
      <c r="BD11" s="40">
        <f t="shared" si="7"/>
        <v>0.20049675467224137</v>
      </c>
      <c r="BH11" s="31">
        <v>42887</v>
      </c>
      <c r="BI11" s="40">
        <f t="shared" si="8"/>
        <v>9.4864089383419767E-2</v>
      </c>
      <c r="BJ11" s="40">
        <f t="shared" si="9"/>
        <v>4.406916052174025E-3</v>
      </c>
      <c r="BK11" s="40">
        <f t="shared" si="10"/>
        <v>0.12630408832366719</v>
      </c>
      <c r="BL11" s="40">
        <f t="shared" si="11"/>
        <v>0.19232724715962635</v>
      </c>
      <c r="BM11" s="40">
        <f t="shared" si="12"/>
        <v>0.2156222117079272</v>
      </c>
      <c r="BN11" s="40">
        <f t="shared" si="13"/>
        <v>1.1004538733053409E-2</v>
      </c>
      <c r="BO11" s="40">
        <f t="shared" si="14"/>
        <v>5.628267008833826E-2</v>
      </c>
      <c r="BP11" s="40">
        <f t="shared" si="15"/>
        <v>7.1813994521199742E-2</v>
      </c>
    </row>
    <row r="12" spans="1:68" x14ac:dyDescent="0.2">
      <c r="A12" s="32">
        <v>42583</v>
      </c>
      <c r="B12" s="40">
        <v>-1.84E-2</v>
      </c>
      <c r="C12" s="40">
        <v>1.11E-2</v>
      </c>
      <c r="D12" s="40">
        <v>-2.7000000000000001E-3</v>
      </c>
      <c r="E12" s="40">
        <v>4.4999999999999997E-3</v>
      </c>
      <c r="F12" s="40">
        <v>0</v>
      </c>
      <c r="G12" s="40">
        <f>SUMPRODUCT($B12:$F12,Carteiras!$M$16:$Q$16)</f>
        <v>1.008E-2</v>
      </c>
      <c r="H12" s="40">
        <f>SUMPRODUCT($B12:$F12,Carteiras!$M$17:$Q$17)</f>
        <v>4.9000000000000007E-3</v>
      </c>
      <c r="I12" s="40">
        <f>SUMPRODUCT($B12:$F12,Carteiras!$M$18:$Q$18)</f>
        <v>3.5E-4</v>
      </c>
      <c r="L12" s="3"/>
      <c r="M12" s="40"/>
      <c r="N12" s="40"/>
      <c r="O12" s="40"/>
      <c r="P12" s="40"/>
      <c r="Q12" s="40"/>
      <c r="R12" s="40"/>
      <c r="S12" s="40"/>
      <c r="T12" s="40"/>
      <c r="Y12" s="40"/>
      <c r="Z12" s="40"/>
      <c r="AA12" s="40"/>
      <c r="AB12" s="40"/>
      <c r="AC12" s="40"/>
      <c r="AD12" s="40"/>
      <c r="AE12" s="40"/>
      <c r="AF12" s="40"/>
      <c r="AJ12" s="32">
        <v>42583</v>
      </c>
      <c r="AK12" s="43">
        <f t="shared" si="17"/>
        <v>77.684236093651762</v>
      </c>
      <c r="AL12" s="43">
        <f t="shared" si="18"/>
        <v>107.71330271321763</v>
      </c>
      <c r="AM12" s="43">
        <f t="shared" si="19"/>
        <v>86.817457136362748</v>
      </c>
      <c r="AN12" s="43">
        <f t="shared" si="20"/>
        <v>132.17099538351312</v>
      </c>
      <c r="AO12" s="43">
        <f t="shared" si="21"/>
        <v>133.63059905349994</v>
      </c>
      <c r="AP12" s="43">
        <f t="shared" si="22"/>
        <v>107.89292996255682</v>
      </c>
      <c r="AQ12" s="43">
        <f t="shared" si="23"/>
        <v>110.33244588813503</v>
      </c>
      <c r="AR12" s="43">
        <f t="shared" si="24"/>
        <v>106.63601655238929</v>
      </c>
      <c r="AV12" s="31">
        <v>42919</v>
      </c>
      <c r="AW12" s="40">
        <f t="shared" si="25"/>
        <v>-0.1253830828587883</v>
      </c>
      <c r="AX12" s="40">
        <f t="shared" si="1"/>
        <v>0.12380610357689847</v>
      </c>
      <c r="AY12" s="40">
        <f t="shared" si="2"/>
        <v>0.10737422438069522</v>
      </c>
      <c r="AZ12" s="40">
        <f t="shared" si="3"/>
        <v>0.14447522140499336</v>
      </c>
      <c r="BA12" s="40">
        <f t="shared" si="4"/>
        <v>0.25670722534599832</v>
      </c>
      <c r="BB12" s="40">
        <f t="shared" si="5"/>
        <v>0.12509112423502611</v>
      </c>
      <c r="BC12" s="40">
        <f t="shared" si="6"/>
        <v>0.13488200686758223</v>
      </c>
      <c r="BD12" s="40">
        <f t="shared" si="7"/>
        <v>0.13788249547169085</v>
      </c>
      <c r="BH12" s="31">
        <v>42919</v>
      </c>
      <c r="BI12" s="40">
        <f t="shared" si="8"/>
        <v>0.10846319861845055</v>
      </c>
      <c r="BJ12" s="40">
        <f t="shared" si="9"/>
        <v>4.516937820329971E-3</v>
      </c>
      <c r="BK12" s="40">
        <f t="shared" si="10"/>
        <v>0.13304966605130444</v>
      </c>
      <c r="BL12" s="40">
        <f t="shared" si="11"/>
        <v>0.16423970010600084</v>
      </c>
      <c r="BM12" s="40">
        <f t="shared" si="12"/>
        <v>0.18442615422883049</v>
      </c>
      <c r="BN12" s="40">
        <f t="shared" si="13"/>
        <v>7.4591304635813465E-3</v>
      </c>
      <c r="BO12" s="40">
        <f t="shared" si="14"/>
        <v>3.7796235111930976E-2</v>
      </c>
      <c r="BP12" s="40">
        <f t="shared" si="15"/>
        <v>4.5079972473170582E-2</v>
      </c>
    </row>
    <row r="13" spans="1:68" x14ac:dyDescent="0.2">
      <c r="A13" s="32">
        <v>42614</v>
      </c>
      <c r="B13" s="40">
        <v>1.5E-3</v>
      </c>
      <c r="C13" s="40">
        <v>1.11E-2</v>
      </c>
      <c r="D13" s="40">
        <v>1.6999999999999999E-3</v>
      </c>
      <c r="E13" s="40">
        <v>1.1299999999999999E-2</v>
      </c>
      <c r="F13" s="40">
        <v>1.4E-3</v>
      </c>
      <c r="G13" s="40">
        <f>SUMPRODUCT($B13:$F13,Carteiras!$M$16:$Q$16)</f>
        <v>1.064E-2</v>
      </c>
      <c r="H13" s="40">
        <f>SUMPRODUCT($B13:$F13,Carteiras!$M$17:$Q$17)</f>
        <v>7.7850000000000003E-3</v>
      </c>
      <c r="I13" s="40">
        <f>SUMPRODUCT($B13:$F13,Carteiras!$M$18:$Q$18)</f>
        <v>4.4200000000000003E-3</v>
      </c>
      <c r="M13" s="40"/>
      <c r="N13" s="40"/>
      <c r="O13" s="40"/>
      <c r="P13" s="40"/>
      <c r="Q13" s="40"/>
      <c r="R13" s="40"/>
      <c r="S13" s="40"/>
      <c r="T13" s="40"/>
      <c r="AJ13" s="32">
        <v>42614</v>
      </c>
      <c r="AK13" s="43">
        <f t="shared" si="17"/>
        <v>76.254846149528575</v>
      </c>
      <c r="AL13" s="43">
        <f t="shared" si="18"/>
        <v>108.90892037333435</v>
      </c>
      <c r="AM13" s="43">
        <f t="shared" si="19"/>
        <v>86.583050002094566</v>
      </c>
      <c r="AN13" s="43">
        <f t="shared" si="20"/>
        <v>132.76576486273891</v>
      </c>
      <c r="AO13" s="43">
        <f t="shared" si="21"/>
        <v>133.63059905349994</v>
      </c>
      <c r="AP13" s="43">
        <f t="shared" si="22"/>
        <v>108.98049069657941</v>
      </c>
      <c r="AQ13" s="43">
        <f t="shared" si="23"/>
        <v>110.87307487298688</v>
      </c>
      <c r="AR13" s="43">
        <f t="shared" si="24"/>
        <v>106.67333915818264</v>
      </c>
      <c r="AV13" s="31">
        <v>42948</v>
      </c>
      <c r="AW13" s="40">
        <f t="shared" si="25"/>
        <v>-0.10898847072003692</v>
      </c>
      <c r="AX13" s="40">
        <f t="shared" si="1"/>
        <v>0.12036055029721449</v>
      </c>
      <c r="AY13" s="40">
        <f t="shared" si="2"/>
        <v>0.12136491447113551</v>
      </c>
      <c r="AZ13" s="40">
        <f t="shared" si="3"/>
        <v>0.22320417889537181</v>
      </c>
      <c r="BA13" s="40">
        <f t="shared" si="4"/>
        <v>0.36566374178349648</v>
      </c>
      <c r="BB13" s="40">
        <f t="shared" si="5"/>
        <v>0.12653357731387516</v>
      </c>
      <c r="BC13" s="40">
        <f t="shared" si="6"/>
        <v>0.16269785305043505</v>
      </c>
      <c r="BD13" s="40">
        <f t="shared" si="7"/>
        <v>0.17690958441019555</v>
      </c>
      <c r="BH13" s="31">
        <v>42948</v>
      </c>
      <c r="BI13" s="40">
        <f t="shared" si="8"/>
        <v>0.10858958597314101</v>
      </c>
      <c r="BJ13" s="40">
        <f t="shared" si="9"/>
        <v>4.5881269697894246E-3</v>
      </c>
      <c r="BK13" s="40">
        <f t="shared" si="10"/>
        <v>0.13241624110769382</v>
      </c>
      <c r="BL13" s="40">
        <f t="shared" si="11"/>
        <v>0.17484929614853004</v>
      </c>
      <c r="BM13" s="40">
        <f t="shared" si="12"/>
        <v>0.19404540237227522</v>
      </c>
      <c r="BN13" s="40">
        <f t="shared" si="13"/>
        <v>7.6093320397331264E-3</v>
      </c>
      <c r="BO13" s="40">
        <f t="shared" si="14"/>
        <v>4.1545110723164524E-2</v>
      </c>
      <c r="BP13" s="40">
        <f t="shared" si="15"/>
        <v>4.9190330165777306E-2</v>
      </c>
    </row>
    <row r="14" spans="1:68" x14ac:dyDescent="0.2">
      <c r="A14" s="32">
        <v>42644</v>
      </c>
      <c r="B14" s="40">
        <v>-2.9899999999999999E-2</v>
      </c>
      <c r="C14" s="40">
        <v>1.11E-2</v>
      </c>
      <c r="D14" s="40">
        <v>-3.2599999999999997E-2</v>
      </c>
      <c r="E14" s="40">
        <v>0.11210000000000001</v>
      </c>
      <c r="F14" s="40">
        <v>7.0499999999999993E-2</v>
      </c>
      <c r="G14" s="40">
        <f>SUMPRODUCT($B14:$F14,Carteiras!$M$16:$Q$16)</f>
        <v>1.3965000000000002E-2</v>
      </c>
      <c r="H14" s="40">
        <f>SUMPRODUCT($B14:$F14,Carteiras!$M$17:$Q$17)</f>
        <v>2.6555000000000002E-2</v>
      </c>
      <c r="I14" s="40">
        <f>SUMPRODUCT($B14:$F14,Carteiras!$M$18:$Q$18)</f>
        <v>1.6760000000000001E-2</v>
      </c>
      <c r="M14" s="40"/>
      <c r="N14" s="40"/>
      <c r="O14" s="40"/>
      <c r="P14" s="40"/>
      <c r="Q14" s="40"/>
      <c r="R14" s="40"/>
      <c r="S14" s="40"/>
      <c r="T14" s="40"/>
      <c r="AJ14" s="32">
        <v>42644</v>
      </c>
      <c r="AK14" s="43">
        <f t="shared" si="17"/>
        <v>76.369228418752868</v>
      </c>
      <c r="AL14" s="43">
        <f t="shared" si="18"/>
        <v>110.11780938947838</v>
      </c>
      <c r="AM14" s="43">
        <f t="shared" si="19"/>
        <v>86.73024118709813</v>
      </c>
      <c r="AN14" s="43">
        <f t="shared" si="20"/>
        <v>134.26601800568787</v>
      </c>
      <c r="AO14" s="43">
        <f t="shared" si="21"/>
        <v>133.81768189217485</v>
      </c>
      <c r="AP14" s="43">
        <f t="shared" si="22"/>
        <v>110.14004311759101</v>
      </c>
      <c r="AQ14" s="43">
        <f t="shared" si="23"/>
        <v>111.73622176087306</v>
      </c>
      <c r="AR14" s="43">
        <f t="shared" si="24"/>
        <v>107.14483531726182</v>
      </c>
      <c r="AV14" s="31">
        <v>42979</v>
      </c>
      <c r="AW14" s="40">
        <f t="shared" si="25"/>
        <v>-0.10970021233104432</v>
      </c>
      <c r="AX14" s="40">
        <f t="shared" si="1"/>
        <v>0.11515266325696438</v>
      </c>
      <c r="AY14" s="40">
        <f t="shared" si="2"/>
        <v>0.14834394455874156</v>
      </c>
      <c r="AZ14" s="40">
        <f t="shared" si="3"/>
        <v>0.2655379535036364</v>
      </c>
      <c r="BA14" s="40">
        <f t="shared" si="4"/>
        <v>0.41053126435657084</v>
      </c>
      <c r="BB14" s="40">
        <f t="shared" si="5"/>
        <v>0.12511236866284681</v>
      </c>
      <c r="BC14" s="40">
        <f t="shared" si="6"/>
        <v>0.17586175458033027</v>
      </c>
      <c r="BD14" s="40">
        <f t="shared" si="7"/>
        <v>0.19752618318132442</v>
      </c>
      <c r="BH14" s="31">
        <v>42979</v>
      </c>
      <c r="BI14" s="40">
        <f t="shared" si="8"/>
        <v>0.10850717613470212</v>
      </c>
      <c r="BJ14" s="40">
        <f t="shared" si="9"/>
        <v>5.1869591722458596E-3</v>
      </c>
      <c r="BK14" s="40">
        <f t="shared" si="10"/>
        <v>0.13291250710694813</v>
      </c>
      <c r="BL14" s="40">
        <f t="shared" si="11"/>
        <v>0.17686308006734783</v>
      </c>
      <c r="BM14" s="40">
        <f t="shared" si="12"/>
        <v>0.19195564591852982</v>
      </c>
      <c r="BN14" s="40">
        <f t="shared" si="13"/>
        <v>7.595572274807093E-3</v>
      </c>
      <c r="BO14" s="40">
        <f t="shared" si="14"/>
        <v>4.1637387564325147E-2</v>
      </c>
      <c r="BP14" s="40">
        <f t="shared" si="15"/>
        <v>4.8690681650039092E-2</v>
      </c>
    </row>
    <row r="15" spans="1:68" x14ac:dyDescent="0.2">
      <c r="A15" s="32">
        <v>42675</v>
      </c>
      <c r="B15" s="40">
        <v>5.21E-2</v>
      </c>
      <c r="C15" s="40">
        <v>1.04E-2</v>
      </c>
      <c r="D15" s="40">
        <v>0.1004</v>
      </c>
      <c r="E15" s="40">
        <v>-4.6100000000000002E-2</v>
      </c>
      <c r="F15" s="40">
        <v>-7.5600000000000001E-2</v>
      </c>
      <c r="G15" s="40">
        <f>SUMPRODUCT($B15:$F15,Carteiras!$M$16:$Q$16)</f>
        <v>1.2075000000000001E-2</v>
      </c>
      <c r="H15" s="40">
        <f>SUMPRODUCT($B15:$F15,Carteiras!$M$17:$Q$17)</f>
        <v>4.6099999999999995E-3</v>
      </c>
      <c r="I15" s="40">
        <f>SUMPRODUCT($B15:$F15,Carteiras!$M$18:$Q$18)</f>
        <v>1.2944999999999998E-2</v>
      </c>
      <c r="M15" s="40"/>
      <c r="N15" s="40"/>
      <c r="O15" s="40"/>
      <c r="P15" s="40"/>
      <c r="Q15" s="40"/>
      <c r="R15" s="40"/>
      <c r="S15" s="40"/>
      <c r="T15" s="40"/>
      <c r="Y15" s="40"/>
      <c r="Z15" s="40"/>
      <c r="AA15" s="40"/>
      <c r="AB15" s="40"/>
      <c r="AC15" s="40"/>
      <c r="AD15" s="40"/>
      <c r="AE15" s="40"/>
      <c r="AF15" s="40"/>
      <c r="AJ15" s="32">
        <v>42675</v>
      </c>
      <c r="AK15" s="43">
        <f t="shared" si="17"/>
        <v>74.085788489032154</v>
      </c>
      <c r="AL15" s="43">
        <f t="shared" si="18"/>
        <v>111.34011707370161</v>
      </c>
      <c r="AM15" s="43">
        <f t="shared" si="19"/>
        <v>83.902835324398737</v>
      </c>
      <c r="AN15" s="43">
        <f t="shared" si="20"/>
        <v>149.31723862412548</v>
      </c>
      <c r="AO15" s="43">
        <f t="shared" si="21"/>
        <v>143.25182846557317</v>
      </c>
      <c r="AP15" s="43">
        <f t="shared" si="22"/>
        <v>111.67814881972816</v>
      </c>
      <c r="AQ15" s="43">
        <f t="shared" si="23"/>
        <v>114.70337712973306</v>
      </c>
      <c r="AR15" s="43">
        <f t="shared" si="24"/>
        <v>108.94058275717914</v>
      </c>
      <c r="AV15" s="31">
        <v>43010</v>
      </c>
      <c r="AW15" s="40">
        <f t="shared" si="25"/>
        <v>-5.4819347159821175E-2</v>
      </c>
      <c r="AX15" s="40">
        <f t="shared" si="1"/>
        <v>0.1099689845730476</v>
      </c>
      <c r="AY15" s="40">
        <f t="shared" si="2"/>
        <v>0.25256618802810027</v>
      </c>
      <c r="AZ15" s="40">
        <f t="shared" si="3"/>
        <v>0.14104388632146025</v>
      </c>
      <c r="BA15" s="40">
        <f t="shared" si="4"/>
        <v>0.30077203565885702</v>
      </c>
      <c r="BB15" s="40">
        <f t="shared" si="5"/>
        <v>0.11922030465906031</v>
      </c>
      <c r="BC15" s="40">
        <f t="shared" si="6"/>
        <v>0.15857127020746198</v>
      </c>
      <c r="BD15" s="40">
        <f t="shared" si="7"/>
        <v>0.19833296692132141</v>
      </c>
      <c r="BH15" s="31">
        <v>43010</v>
      </c>
      <c r="BI15" s="40">
        <f t="shared" si="8"/>
        <v>0.11245838018007936</v>
      </c>
      <c r="BJ15" s="40">
        <f t="shared" si="9"/>
        <v>5.3611396346129776E-3</v>
      </c>
      <c r="BK15" s="40">
        <f t="shared" si="10"/>
        <v>0.12954900792574775</v>
      </c>
      <c r="BL15" s="40">
        <f t="shared" si="11"/>
        <v>0.14662942777938229</v>
      </c>
      <c r="BM15" s="40">
        <f t="shared" si="12"/>
        <v>0.19107189508378539</v>
      </c>
      <c r="BN15" s="40">
        <f t="shared" si="13"/>
        <v>6.2044060590401833E-3</v>
      </c>
      <c r="BO15" s="40">
        <f t="shared" si="14"/>
        <v>3.92013270879258E-2</v>
      </c>
      <c r="BP15" s="40">
        <f t="shared" si="15"/>
        <v>4.8719056379875163E-2</v>
      </c>
    </row>
    <row r="16" spans="1:68" x14ac:dyDescent="0.2">
      <c r="A16" s="32">
        <v>42705</v>
      </c>
      <c r="B16" s="40">
        <v>-4.65E-2</v>
      </c>
      <c r="C16" s="40">
        <v>1.04E-2</v>
      </c>
      <c r="D16" s="40">
        <v>-1.8100000000000002E-2</v>
      </c>
      <c r="E16" s="40">
        <v>-2.93E-2</v>
      </c>
      <c r="F16" s="40">
        <v>-1.6400000000000001E-2</v>
      </c>
      <c r="G16" s="40">
        <f>SUMPRODUCT($B16:$F16,Carteiras!$M$16:$Q$16)</f>
        <v>6.9900000000000006E-3</v>
      </c>
      <c r="H16" s="40">
        <f>SUMPRODUCT($B16:$F16,Carteiras!$M$17:$Q$17)</f>
        <v>-6.6949999999999996E-3</v>
      </c>
      <c r="I16" s="40">
        <f>SUMPRODUCT($B16:$F16,Carteiras!$M$18:$Q$18)</f>
        <v>-1.3865000000000002E-2</v>
      </c>
      <c r="M16" s="40"/>
      <c r="N16" s="40"/>
      <c r="O16" s="40"/>
      <c r="P16" s="40"/>
      <c r="Q16" s="40"/>
      <c r="R16" s="40"/>
      <c r="S16" s="40"/>
      <c r="T16" s="40"/>
      <c r="Y16" s="40"/>
      <c r="Z16" s="40"/>
      <c r="AA16" s="40"/>
      <c r="AB16" s="40"/>
      <c r="AC16" s="40"/>
      <c r="AD16" s="40"/>
      <c r="AE16" s="40"/>
      <c r="AF16" s="40"/>
      <c r="AJ16" s="32">
        <v>42705</v>
      </c>
      <c r="AK16" s="43">
        <f t="shared" si="17"/>
        <v>77.945658069310738</v>
      </c>
      <c r="AL16" s="43">
        <f t="shared" si="18"/>
        <v>112.4980542912681</v>
      </c>
      <c r="AM16" s="43">
        <f t="shared" si="19"/>
        <v>92.326679990968373</v>
      </c>
      <c r="AN16" s="43">
        <f t="shared" si="20"/>
        <v>142.43371392355328</v>
      </c>
      <c r="AO16" s="43">
        <f t="shared" si="21"/>
        <v>132.42199023357583</v>
      </c>
      <c r="AP16" s="43">
        <f t="shared" si="22"/>
        <v>113.02666246672639</v>
      </c>
      <c r="AQ16" s="43">
        <f t="shared" si="23"/>
        <v>115.23215969830113</v>
      </c>
      <c r="AR16" s="43">
        <f t="shared" si="24"/>
        <v>110.35081860097083</v>
      </c>
      <c r="AV16" s="31">
        <v>43040</v>
      </c>
      <c r="AW16" s="40">
        <f t="shared" si="25"/>
        <v>-0.10315193828500091</v>
      </c>
      <c r="AX16" s="40">
        <f t="shared" si="1"/>
        <v>0.10480582718241704</v>
      </c>
      <c r="AY16" s="40">
        <f t="shared" si="2"/>
        <v>0.16981304201788316</v>
      </c>
      <c r="AZ16" s="40">
        <f t="shared" si="3"/>
        <v>0.15671395122429166</v>
      </c>
      <c r="BA16" s="40">
        <f t="shared" si="4"/>
        <v>0.36775250828689909</v>
      </c>
      <c r="BB16" s="40">
        <f t="shared" si="5"/>
        <v>0.11124700386950237</v>
      </c>
      <c r="BC16" s="40">
        <f t="shared" si="6"/>
        <v>0.15068300760981801</v>
      </c>
      <c r="BD16" s="40">
        <f t="shared" si="7"/>
        <v>0.18244502458905898</v>
      </c>
      <c r="BH16" s="31">
        <v>43040</v>
      </c>
      <c r="BI16" s="40">
        <f t="shared" si="8"/>
        <v>9.451312559158602E-2</v>
      </c>
      <c r="BJ16" s="40">
        <f t="shared" si="9"/>
        <v>5.8086925457377318E-3</v>
      </c>
      <c r="BK16" s="40">
        <f t="shared" si="10"/>
        <v>9.615923819846478E-2</v>
      </c>
      <c r="BL16" s="40">
        <f t="shared" si="11"/>
        <v>0.14147440179635451</v>
      </c>
      <c r="BM16" s="40">
        <f t="shared" si="12"/>
        <v>0.168761703971229</v>
      </c>
      <c r="BN16" s="40">
        <f t="shared" si="13"/>
        <v>6.9926188357308725E-3</v>
      </c>
      <c r="BO16" s="40">
        <f t="shared" si="14"/>
        <v>4.1228295336620889E-2</v>
      </c>
      <c r="BP16" s="40">
        <f t="shared" si="15"/>
        <v>5.1209178243393404E-2</v>
      </c>
    </row>
    <row r="17" spans="1:68" x14ac:dyDescent="0.2">
      <c r="A17" s="32">
        <v>42737</v>
      </c>
      <c r="B17" s="40">
        <v>-4.0599999999999997E-2</v>
      </c>
      <c r="C17" s="40">
        <v>1.0800000000000001E-2</v>
      </c>
      <c r="D17" s="40">
        <v>-2.1100000000000001E-2</v>
      </c>
      <c r="E17" s="40">
        <v>7.1300000000000002E-2</v>
      </c>
      <c r="F17" s="40">
        <v>0.1183</v>
      </c>
      <c r="G17" s="40">
        <f>SUMPRODUCT($B17:$F17,Carteiras!$M$16:$Q$16)</f>
        <v>1.2230000000000001E-2</v>
      </c>
      <c r="H17" s="40">
        <f>SUMPRODUCT($B17:$F17,Carteiras!$M$17:$Q$17)</f>
        <v>2.8645E-2</v>
      </c>
      <c r="I17" s="40">
        <f>SUMPRODUCT($B17:$F17,Carteiras!$M$18:$Q$18)</f>
        <v>3.1365000000000004E-2</v>
      </c>
      <c r="M17" s="40"/>
      <c r="N17" s="40"/>
      <c r="O17" s="40"/>
      <c r="P17" s="40"/>
      <c r="Q17" s="40"/>
      <c r="R17" s="40"/>
      <c r="S17" s="40"/>
      <c r="T17" s="40"/>
      <c r="Y17" s="40"/>
      <c r="Z17" s="40"/>
      <c r="AA17" s="40"/>
      <c r="AB17" s="40"/>
      <c r="AC17" s="40"/>
      <c r="AD17" s="40"/>
      <c r="AE17" s="40"/>
      <c r="AF17" s="40"/>
      <c r="AJ17" s="32">
        <v>42737</v>
      </c>
      <c r="AK17" s="43">
        <f t="shared" si="17"/>
        <v>74.321184969087795</v>
      </c>
      <c r="AL17" s="43">
        <f t="shared" si="18"/>
        <v>113.66803405589729</v>
      </c>
      <c r="AM17" s="43">
        <f t="shared" si="19"/>
        <v>90.655567083131842</v>
      </c>
      <c r="AN17" s="43">
        <f t="shared" si="20"/>
        <v>138.26040610559318</v>
      </c>
      <c r="AO17" s="43">
        <f t="shared" si="21"/>
        <v>130.25026959374517</v>
      </c>
      <c r="AP17" s="43">
        <f t="shared" si="22"/>
        <v>113.81671883736881</v>
      </c>
      <c r="AQ17" s="43">
        <f t="shared" si="23"/>
        <v>114.46068038912101</v>
      </c>
      <c r="AR17" s="43">
        <f t="shared" si="24"/>
        <v>108.82080450106837</v>
      </c>
      <c r="AV17" s="31">
        <v>43070</v>
      </c>
      <c r="AW17" s="40">
        <f t="shared" si="25"/>
        <v>-5.0479162767392283E-2</v>
      </c>
      <c r="AX17" s="40">
        <f t="shared" si="1"/>
        <v>9.9666686854074538E-2</v>
      </c>
      <c r="AY17" s="40">
        <f t="shared" si="2"/>
        <v>0.23152636880933453</v>
      </c>
      <c r="AZ17" s="40">
        <f t="shared" si="3"/>
        <v>0.26753541765455791</v>
      </c>
      <c r="BA17" s="40">
        <f t="shared" si="4"/>
        <v>0.49624003549888496</v>
      </c>
      <c r="BB17" s="40">
        <f t="shared" si="5"/>
        <v>0.11456863912074322</v>
      </c>
      <c r="BC17" s="40">
        <f t="shared" si="6"/>
        <v>0.19242155595517207</v>
      </c>
      <c r="BD17" s="40">
        <f t="shared" si="7"/>
        <v>0.2451983599456462</v>
      </c>
      <c r="BH17" s="31">
        <v>43070</v>
      </c>
      <c r="BI17" s="40">
        <f t="shared" si="8"/>
        <v>8.6303081162736106E-2</v>
      </c>
      <c r="BJ17" s="40">
        <f t="shared" si="9"/>
        <v>5.8926765025441846E-3</v>
      </c>
      <c r="BK17" s="40">
        <f t="shared" si="10"/>
        <v>9.1419487677807096E-2</v>
      </c>
      <c r="BL17" s="40">
        <f t="shared" si="11"/>
        <v>0.14173710298872474</v>
      </c>
      <c r="BM17" s="40">
        <f t="shared" si="12"/>
        <v>0.16784335770971912</v>
      </c>
      <c r="BN17" s="40">
        <f t="shared" si="13"/>
        <v>6.7725596074426422E-3</v>
      </c>
      <c r="BO17" s="40">
        <f t="shared" si="14"/>
        <v>3.9264890863791473E-2</v>
      </c>
      <c r="BP17" s="40">
        <f t="shared" si="15"/>
        <v>4.6486550034293868E-2</v>
      </c>
    </row>
    <row r="18" spans="1:68" x14ac:dyDescent="0.2">
      <c r="A18" s="32">
        <v>42767</v>
      </c>
      <c r="B18" s="40">
        <v>-1.72E-2</v>
      </c>
      <c r="C18" s="40">
        <v>8.6E-3</v>
      </c>
      <c r="D18" s="40">
        <v>2.81E-2</v>
      </c>
      <c r="E18" s="40">
        <v>3.3799999999999997E-2</v>
      </c>
      <c r="F18" s="40">
        <v>5.45E-2</v>
      </c>
      <c r="G18" s="40">
        <f>SUMPRODUCT($B18:$F18,Carteiras!$M$16:$Q$16)</f>
        <v>1.0835000000000001E-2</v>
      </c>
      <c r="H18" s="40">
        <f>SUMPRODUCT($B18:$F18,Carteiras!$M$17:$Q$17)</f>
        <v>2.0900000000000002E-2</v>
      </c>
      <c r="I18" s="40">
        <f>SUMPRODUCT($B18:$F18,Carteiras!$M$18:$Q$18)</f>
        <v>2.69E-2</v>
      </c>
      <c r="M18" s="40"/>
      <c r="N18" s="40"/>
      <c r="O18" s="40"/>
      <c r="P18" s="40"/>
      <c r="Q18" s="40"/>
      <c r="R18" s="40"/>
      <c r="S18" s="40"/>
      <c r="T18" s="40"/>
      <c r="Y18" s="40"/>
      <c r="Z18" s="40"/>
      <c r="AA18" s="40"/>
      <c r="AB18" s="40"/>
      <c r="AC18" s="40"/>
      <c r="AD18" s="40"/>
      <c r="AE18" s="40"/>
      <c r="AF18" s="40"/>
      <c r="AJ18" s="32">
        <v>42767</v>
      </c>
      <c r="AK18" s="43">
        <f t="shared" si="17"/>
        <v>71.303744859342828</v>
      </c>
      <c r="AL18" s="43">
        <f t="shared" si="18"/>
        <v>114.89564882370098</v>
      </c>
      <c r="AM18" s="43">
        <f t="shared" si="19"/>
        <v>88.742734617677755</v>
      </c>
      <c r="AN18" s="43">
        <f t="shared" si="20"/>
        <v>148.11837306092195</v>
      </c>
      <c r="AO18" s="43">
        <f t="shared" si="21"/>
        <v>145.65887648668524</v>
      </c>
      <c r="AP18" s="43">
        <f t="shared" si="22"/>
        <v>115.20869730874983</v>
      </c>
      <c r="AQ18" s="43">
        <f t="shared" si="23"/>
        <v>117.73940657886739</v>
      </c>
      <c r="AR18" s="43">
        <f t="shared" si="24"/>
        <v>112.23396903424438</v>
      </c>
      <c r="AV18" s="31">
        <v>43102</v>
      </c>
      <c r="AW18" s="40">
        <f t="shared" si="25"/>
        <v>-5.2953419691596615E-2</v>
      </c>
      <c r="AX18" s="40">
        <f t="shared" si="1"/>
        <v>9.4227100947594344E-2</v>
      </c>
      <c r="AY18" s="40">
        <f t="shared" si="2"/>
        <v>0.2681362547347117</v>
      </c>
      <c r="AZ18" s="40">
        <f t="shared" si="3"/>
        <v>0.31427083163509995</v>
      </c>
      <c r="BA18" s="40">
        <f t="shared" si="4"/>
        <v>0.39161160772815018</v>
      </c>
      <c r="BB18" s="40">
        <f t="shared" si="5"/>
        <v>0.11339045980985629</v>
      </c>
      <c r="BC18" s="40">
        <f t="shared" si="6"/>
        <v>0.1877093436516486</v>
      </c>
      <c r="BD18" s="40">
        <f t="shared" si="7"/>
        <v>0.22798786451383957</v>
      </c>
      <c r="BH18" s="31">
        <v>43102</v>
      </c>
      <c r="BI18" s="40">
        <f t="shared" si="8"/>
        <v>8.7487240628146862E-2</v>
      </c>
      <c r="BJ18" s="40">
        <f t="shared" si="9"/>
        <v>5.3509557345139082E-3</v>
      </c>
      <c r="BK18" s="40">
        <f t="shared" si="10"/>
        <v>8.2054549483310743E-2</v>
      </c>
      <c r="BL18" s="40">
        <f t="shared" si="11"/>
        <v>0.16127534895890994</v>
      </c>
      <c r="BM18" s="40">
        <f t="shared" si="12"/>
        <v>0.14179357595398384</v>
      </c>
      <c r="BN18" s="40">
        <f t="shared" si="13"/>
        <v>6.2978199691350626E-3</v>
      </c>
      <c r="BO18" s="40">
        <f t="shared" si="14"/>
        <v>3.7891214950889936E-2</v>
      </c>
      <c r="BP18" s="40">
        <f t="shared" si="15"/>
        <v>4.4326269145548838E-2</v>
      </c>
    </row>
    <row r="19" spans="1:68" x14ac:dyDescent="0.2">
      <c r="A19" s="32">
        <v>42795</v>
      </c>
      <c r="B19" s="40">
        <v>-6.0000000000000001E-3</v>
      </c>
      <c r="C19" s="40">
        <v>1.0500000000000001E-2</v>
      </c>
      <c r="D19" s="40">
        <v>6.9999999999999999E-4</v>
      </c>
      <c r="E19" s="40">
        <v>-2.6700000000000002E-2</v>
      </c>
      <c r="F19" s="40">
        <v>-1.61E-2</v>
      </c>
      <c r="G19" s="40">
        <f>SUMPRODUCT($B19:$F19,Carteiras!$M$16:$Q$16)</f>
        <v>8.150000000000001E-3</v>
      </c>
      <c r="H19" s="40">
        <f>SUMPRODUCT($B19:$F19,Carteiras!$M$17:$Q$17)</f>
        <v>-1.3649999999999995E-3</v>
      </c>
      <c r="I19" s="40">
        <f>SUMPRODUCT($B19:$F19,Carteiras!$M$18:$Q$18)</f>
        <v>-3.9300000000000003E-3</v>
      </c>
      <c r="M19" s="40"/>
      <c r="N19" s="40"/>
      <c r="O19" s="40"/>
      <c r="P19" s="40"/>
      <c r="Q19" s="40"/>
      <c r="R19" s="40"/>
      <c r="S19" s="40"/>
      <c r="T19" s="40"/>
      <c r="Y19" s="40"/>
      <c r="Z19" s="40"/>
      <c r="AA19" s="40"/>
      <c r="AB19" s="40"/>
      <c r="AC19" s="40"/>
      <c r="AD19" s="40"/>
      <c r="AE19" s="40"/>
      <c r="AF19" s="40"/>
      <c r="AJ19" s="32">
        <v>42795</v>
      </c>
      <c r="AK19" s="43">
        <f t="shared" si="17"/>
        <v>70.077320447762133</v>
      </c>
      <c r="AL19" s="43">
        <f t="shared" si="18"/>
        <v>115.8837514035848</v>
      </c>
      <c r="AM19" s="43">
        <f t="shared" si="19"/>
        <v>91.236405460434497</v>
      </c>
      <c r="AN19" s="43">
        <f t="shared" si="20"/>
        <v>153.12477407038114</v>
      </c>
      <c r="AO19" s="43">
        <f t="shared" si="21"/>
        <v>153.59728525520958</v>
      </c>
      <c r="AP19" s="43">
        <f t="shared" si="22"/>
        <v>116.45698354409014</v>
      </c>
      <c r="AQ19" s="43">
        <f t="shared" si="23"/>
        <v>120.20016017636571</v>
      </c>
      <c r="AR19" s="43">
        <f t="shared" si="24"/>
        <v>115.25306280126554</v>
      </c>
      <c r="AV19" s="31">
        <v>43132</v>
      </c>
      <c r="AW19" s="40">
        <f t="shared" si="25"/>
        <v>-2.0575758826352208E-2</v>
      </c>
      <c r="AX19" s="40">
        <f t="shared" si="1"/>
        <v>8.9887513000151742E-2</v>
      </c>
      <c r="AY19" s="40">
        <f t="shared" si="2"/>
        <v>0.2112730300063097</v>
      </c>
      <c r="AZ19" s="40">
        <f t="shared" si="3"/>
        <v>0.27905579774431644</v>
      </c>
      <c r="BA19" s="40">
        <f t="shared" si="4"/>
        <v>0.31111060434131477</v>
      </c>
      <c r="BB19" s="40">
        <f t="shared" si="5"/>
        <v>0.10536084424251424</v>
      </c>
      <c r="BC19" s="40">
        <f t="shared" si="6"/>
        <v>0.16381322266173304</v>
      </c>
      <c r="BD19" s="40">
        <f t="shared" si="7"/>
        <v>0.19073208311455203</v>
      </c>
      <c r="BH19" s="31">
        <v>43132</v>
      </c>
      <c r="BI19" s="40">
        <f t="shared" si="8"/>
        <v>8.8497411364298201E-2</v>
      </c>
      <c r="BJ19" s="40">
        <f t="shared" si="9"/>
        <v>5.9433691088166783E-3</v>
      </c>
      <c r="BK19" s="40">
        <f t="shared" si="10"/>
        <v>8.9825340623800667E-2</v>
      </c>
      <c r="BL19" s="40">
        <f t="shared" si="11"/>
        <v>0.16181703191624117</v>
      </c>
      <c r="BM19" s="40">
        <f t="shared" si="12"/>
        <v>0.14278738166811647</v>
      </c>
      <c r="BN19" s="40">
        <f t="shared" si="13"/>
        <v>7.9687412032037001E-3</v>
      </c>
      <c r="BO19" s="40">
        <f t="shared" si="14"/>
        <v>3.9629600593266361E-2</v>
      </c>
      <c r="BP19" s="40">
        <f t="shared" si="15"/>
        <v>4.7805149090296262E-2</v>
      </c>
    </row>
    <row r="20" spans="1:68" x14ac:dyDescent="0.2">
      <c r="A20" s="32">
        <v>42828</v>
      </c>
      <c r="B20" s="40">
        <v>1.12E-2</v>
      </c>
      <c r="C20" s="40">
        <v>7.9000000000000008E-3</v>
      </c>
      <c r="D20" s="40">
        <v>3.1399999999999997E-2</v>
      </c>
      <c r="E20" s="40">
        <v>6.4999999999999997E-3</v>
      </c>
      <c r="F20" s="40">
        <v>3.39E-2</v>
      </c>
      <c r="G20" s="40">
        <f>SUMPRODUCT($B20:$F20,Carteiras!$M$16:$Q$16)</f>
        <v>9.0050000000000009E-3</v>
      </c>
      <c r="H20" s="40">
        <f>SUMPRODUCT($B20:$F20,Carteiras!$M$17:$Q$17)</f>
        <v>1.5279999999999998E-2</v>
      </c>
      <c r="I20" s="40">
        <f>SUMPRODUCT($B20:$F20,Carteiras!$M$18:$Q$18)</f>
        <v>2.3010000000000003E-2</v>
      </c>
      <c r="M20" s="40"/>
      <c r="N20" s="40"/>
      <c r="O20" s="40"/>
      <c r="P20" s="40"/>
      <c r="Q20" s="40"/>
      <c r="R20" s="40"/>
      <c r="S20" s="40"/>
      <c r="T20" s="40"/>
      <c r="Y20" s="40"/>
      <c r="Z20" s="40"/>
      <c r="AA20" s="40"/>
      <c r="AB20" s="40"/>
      <c r="AC20" s="40"/>
      <c r="AD20" s="40"/>
      <c r="AE20" s="40"/>
      <c r="AF20" s="40"/>
      <c r="AJ20" s="32">
        <v>42828</v>
      </c>
      <c r="AK20" s="43">
        <f t="shared" si="17"/>
        <v>69.656856525075554</v>
      </c>
      <c r="AL20" s="43">
        <f t="shared" si="18"/>
        <v>117.10053079332243</v>
      </c>
      <c r="AM20" s="43">
        <f t="shared" si="19"/>
        <v>91.300270944256795</v>
      </c>
      <c r="AN20" s="43">
        <f t="shared" si="20"/>
        <v>149.03634260270198</v>
      </c>
      <c r="AO20" s="43">
        <f t="shared" si="21"/>
        <v>151.1243689626007</v>
      </c>
      <c r="AP20" s="43">
        <f t="shared" si="22"/>
        <v>117.40610795997448</v>
      </c>
      <c r="AQ20" s="43">
        <f t="shared" si="23"/>
        <v>120.03608695772498</v>
      </c>
      <c r="AR20" s="43">
        <f t="shared" si="24"/>
        <v>114.80011826445657</v>
      </c>
      <c r="AV20" s="31">
        <v>43160</v>
      </c>
      <c r="AW20" s="40">
        <f t="shared" si="25"/>
        <v>-7.7050002595935307E-4</v>
      </c>
      <c r="AX20" s="40">
        <f t="shared" si="1"/>
        <v>8.4278987450819409E-2</v>
      </c>
      <c r="AY20" s="40">
        <f t="shared" si="2"/>
        <v>0.19807938952757609</v>
      </c>
      <c r="AZ20" s="40">
        <f t="shared" si="3"/>
        <v>0.31309211251014224</v>
      </c>
      <c r="BA20" s="40">
        <f t="shared" si="4"/>
        <v>0.33416397709779977</v>
      </c>
      <c r="BB20" s="40">
        <f t="shared" si="5"/>
        <v>0.10105189406855897</v>
      </c>
      <c r="BC20" s="40">
        <f t="shared" si="6"/>
        <v>0.1676007856588746</v>
      </c>
      <c r="BD20" s="40">
        <f t="shared" si="7"/>
        <v>0.19542414634928895</v>
      </c>
      <c r="BH20" s="31">
        <v>43160</v>
      </c>
      <c r="BI20" s="40">
        <f t="shared" si="8"/>
        <v>8.9639094555485507E-2</v>
      </c>
      <c r="BJ20" s="40">
        <f t="shared" si="9"/>
        <v>4.9923577960354921E-3</v>
      </c>
      <c r="BK20" s="40">
        <f t="shared" si="10"/>
        <v>9.252553455913963E-2</v>
      </c>
      <c r="BL20" s="40">
        <f t="shared" si="11"/>
        <v>0.15530934526702739</v>
      </c>
      <c r="BM20" s="40">
        <f t="shared" si="12"/>
        <v>0.13852675160087638</v>
      </c>
      <c r="BN20" s="40">
        <f t="shared" si="13"/>
        <v>8.9978194328100697E-3</v>
      </c>
      <c r="BO20" s="40">
        <f t="shared" si="14"/>
        <v>3.8480618114247397E-2</v>
      </c>
      <c r="BP20" s="40">
        <f t="shared" si="15"/>
        <v>4.6269410865259368E-2</v>
      </c>
    </row>
    <row r="21" spans="1:68" x14ac:dyDescent="0.2">
      <c r="A21" s="32">
        <v>42857</v>
      </c>
      <c r="B21" s="40">
        <v>7.9000000000000008E-3</v>
      </c>
      <c r="C21" s="40">
        <v>9.2999999999999992E-3</v>
      </c>
      <c r="D21" s="40">
        <v>3.1199999999999999E-2</v>
      </c>
      <c r="E21" s="40">
        <v>-4.1599999999999998E-2</v>
      </c>
      <c r="F21" s="40">
        <v>-8.0000000000000002E-3</v>
      </c>
      <c r="G21" s="40">
        <f>SUMPRODUCT($B21:$F21,Carteiras!$M$16:$Q$16)</f>
        <v>7.8499999999999993E-3</v>
      </c>
      <c r="H21" s="40">
        <f>SUMPRODUCT($B21:$F21,Carteiras!$M$17:$Q$17)</f>
        <v>2.2849999999999997E-3</v>
      </c>
      <c r="I21" s="40">
        <f>SUMPRODUCT($B21:$F21,Carteiras!$M$18:$Q$18)</f>
        <v>7.9949999999999986E-3</v>
      </c>
      <c r="M21" s="40"/>
      <c r="N21" s="40"/>
      <c r="O21" s="40"/>
      <c r="P21" s="40"/>
      <c r="Q21" s="40"/>
      <c r="R21" s="40"/>
      <c r="S21" s="40"/>
      <c r="T21" s="40"/>
      <c r="Y21" s="40"/>
      <c r="Z21" s="40"/>
      <c r="AA21" s="40"/>
      <c r="AB21" s="40"/>
      <c r="AC21" s="40"/>
      <c r="AD21" s="40"/>
      <c r="AE21" s="40"/>
      <c r="AF21" s="40"/>
      <c r="AJ21" s="32">
        <v>42857</v>
      </c>
      <c r="AK21" s="43">
        <f t="shared" si="17"/>
        <v>70.437013318156403</v>
      </c>
      <c r="AL21" s="43">
        <f t="shared" si="18"/>
        <v>118.02562498658969</v>
      </c>
      <c r="AM21" s="43">
        <f t="shared" si="19"/>
        <v>94.167099451906466</v>
      </c>
      <c r="AN21" s="43">
        <f t="shared" si="20"/>
        <v>150.00507882961952</v>
      </c>
      <c r="AO21" s="43">
        <f t="shared" si="21"/>
        <v>156.24748507043287</v>
      </c>
      <c r="AP21" s="43">
        <f t="shared" si="22"/>
        <v>118.46334996215404</v>
      </c>
      <c r="AQ21" s="43">
        <f t="shared" si="23"/>
        <v>121.87023836643901</v>
      </c>
      <c r="AR21" s="43">
        <f t="shared" si="24"/>
        <v>117.44166898572172</v>
      </c>
      <c r="AV21" s="31">
        <v>43192</v>
      </c>
      <c r="AW21" s="40">
        <f t="shared" si="25"/>
        <v>4.6266015202248711E-2</v>
      </c>
      <c r="AX21" s="40">
        <f t="shared" si="1"/>
        <v>8.1374380578989269E-2</v>
      </c>
      <c r="AY21" s="40">
        <f t="shared" si="2"/>
        <v>0.23687699628559522</v>
      </c>
      <c r="AZ21" s="40">
        <f t="shared" si="3"/>
        <v>0.31648410405760985</v>
      </c>
      <c r="BA21" s="40">
        <f t="shared" si="4"/>
        <v>0.31842086797642133</v>
      </c>
      <c r="BB21" s="40">
        <f t="shared" si="5"/>
        <v>0.10036442206072604</v>
      </c>
      <c r="BC21" s="40">
        <f t="shared" si="6"/>
        <v>0.17289091608006912</v>
      </c>
      <c r="BD21" s="40">
        <f t="shared" si="7"/>
        <v>0.20778141592401878</v>
      </c>
      <c r="BH21" s="31">
        <v>43192</v>
      </c>
      <c r="BI21" s="40">
        <f t="shared" si="8"/>
        <v>0.10694921479587657</v>
      </c>
      <c r="BJ21" s="40">
        <f t="shared" si="9"/>
        <v>5.0534416715019804E-3</v>
      </c>
      <c r="BK21" s="40">
        <f t="shared" si="10"/>
        <v>0.10409231916472467</v>
      </c>
      <c r="BL21" s="40">
        <f t="shared" si="11"/>
        <v>0.15501397004493145</v>
      </c>
      <c r="BM21" s="40">
        <f t="shared" si="12"/>
        <v>0.1382109422059431</v>
      </c>
      <c r="BN21" s="40">
        <f t="shared" si="13"/>
        <v>8.9473612158710077E-3</v>
      </c>
      <c r="BO21" s="40">
        <f t="shared" si="14"/>
        <v>3.9042004972500155E-2</v>
      </c>
      <c r="BP21" s="40">
        <f t="shared" si="15"/>
        <v>4.9355479639595683E-2</v>
      </c>
    </row>
    <row r="22" spans="1:68" x14ac:dyDescent="0.2">
      <c r="A22" s="32">
        <v>42887</v>
      </c>
      <c r="B22" s="40">
        <v>1.77E-2</v>
      </c>
      <c r="C22" s="40">
        <v>8.0999999999999996E-3</v>
      </c>
      <c r="D22" s="40">
        <v>3.1199999999999999E-2</v>
      </c>
      <c r="E22" s="40">
        <v>6.1000000000000004E-3</v>
      </c>
      <c r="F22" s="40">
        <v>8.0000000000000004E-4</v>
      </c>
      <c r="G22" s="40">
        <f>SUMPRODUCT($B22:$F22,Carteiras!$M$16:$Q$16)</f>
        <v>9.1549999999999999E-3</v>
      </c>
      <c r="H22" s="40">
        <f>SUMPRODUCT($B22:$F22,Carteiras!$M$17:$Q$17)</f>
        <v>1.0649999999999998E-2</v>
      </c>
      <c r="I22" s="40">
        <f>SUMPRODUCT($B22:$F22,Carteiras!$M$18:$Q$18)</f>
        <v>1.3699999999999999E-2</v>
      </c>
      <c r="M22" s="40"/>
      <c r="N22" s="40"/>
      <c r="O22" s="40"/>
      <c r="P22" s="40"/>
      <c r="Q22" s="40"/>
      <c r="R22" s="40"/>
      <c r="S22" s="40"/>
      <c r="T22" s="40"/>
      <c r="Y22" s="40"/>
      <c r="Z22" s="40"/>
      <c r="AA22" s="40"/>
      <c r="AB22" s="40"/>
      <c r="AC22" s="40"/>
      <c r="AD22" s="40"/>
      <c r="AE22" s="40"/>
      <c r="AF22" s="40"/>
      <c r="AJ22" s="32">
        <v>42887</v>
      </c>
      <c r="AK22" s="43">
        <f t="shared" si="17"/>
        <v>70.993465723369837</v>
      </c>
      <c r="AL22" s="43">
        <f t="shared" si="18"/>
        <v>119.12326329896499</v>
      </c>
      <c r="AM22" s="43">
        <f t="shared" si="19"/>
        <v>97.105112954805932</v>
      </c>
      <c r="AN22" s="43">
        <f t="shared" si="20"/>
        <v>143.76486755030734</v>
      </c>
      <c r="AO22" s="43">
        <f t="shared" si="21"/>
        <v>154.9975051898694</v>
      </c>
      <c r="AP22" s="43">
        <f t="shared" si="22"/>
        <v>119.39328725935694</v>
      </c>
      <c r="AQ22" s="43">
        <f t="shared" si="23"/>
        <v>122.14871186110634</v>
      </c>
      <c r="AR22" s="43">
        <f t="shared" si="24"/>
        <v>118.38061512926257</v>
      </c>
      <c r="AV22" s="31">
        <v>43222</v>
      </c>
      <c r="AW22" s="40">
        <f t="shared" si="25"/>
        <v>9.68197952799843E-2</v>
      </c>
      <c r="AX22" s="40">
        <f t="shared" si="1"/>
        <v>7.6981598492024572E-2</v>
      </c>
      <c r="AY22" s="40">
        <f t="shared" si="2"/>
        <v>0.3195193789893167</v>
      </c>
      <c r="AZ22" s="40">
        <f t="shared" si="3"/>
        <v>0.22321483166037304</v>
      </c>
      <c r="BA22" s="40">
        <f t="shared" si="4"/>
        <v>0.18046513602485637</v>
      </c>
      <c r="BB22" s="40">
        <f t="shared" si="5"/>
        <v>9.6390292481621342E-2</v>
      </c>
      <c r="BC22" s="40">
        <f t="shared" si="6"/>
        <v>0.15529670393156469</v>
      </c>
      <c r="BD22" s="40">
        <f t="shared" si="7"/>
        <v>0.19577543396224417</v>
      </c>
      <c r="BH22" s="31">
        <v>43222</v>
      </c>
      <c r="BI22" s="40">
        <f t="shared" si="8"/>
        <v>0.11916876878840971</v>
      </c>
      <c r="BJ22" s="40">
        <f t="shared" si="9"/>
        <v>4.2038942984722232E-3</v>
      </c>
      <c r="BK22" s="40">
        <f t="shared" si="10"/>
        <v>0.13237880563677168</v>
      </c>
      <c r="BL22" s="40">
        <f t="shared" si="11"/>
        <v>0.19587740832191214</v>
      </c>
      <c r="BM22" s="40">
        <f t="shared" si="12"/>
        <v>0.19268035470931927</v>
      </c>
      <c r="BN22" s="40">
        <f t="shared" si="13"/>
        <v>9.7229550315454279E-3</v>
      </c>
      <c r="BO22" s="40">
        <f t="shared" si="14"/>
        <v>4.6001125974361665E-2</v>
      </c>
      <c r="BP22" s="40">
        <f t="shared" si="15"/>
        <v>5.2059859667851219E-2</v>
      </c>
    </row>
    <row r="23" spans="1:68" x14ac:dyDescent="0.2">
      <c r="A23" s="32">
        <v>42919</v>
      </c>
      <c r="B23" s="40">
        <v>-5.96E-2</v>
      </c>
      <c r="C23" s="40">
        <v>8.0000000000000002E-3</v>
      </c>
      <c r="D23" s="40">
        <v>-3.9899999999999998E-2</v>
      </c>
      <c r="E23" s="40">
        <v>4.58E-2</v>
      </c>
      <c r="F23" s="40">
        <v>8.2600000000000007E-2</v>
      </c>
      <c r="G23" s="40">
        <f>SUMPRODUCT($B23:$F23,Carteiras!$M$16:$Q$16)</f>
        <v>7.4950000000000017E-3</v>
      </c>
      <c r="H23" s="40">
        <f>SUMPRODUCT($B23:$F23,Carteiras!$M$17:$Q$17)</f>
        <v>1.4295E-2</v>
      </c>
      <c r="I23" s="40">
        <f>SUMPRODUCT($B23:$F23,Carteiras!$M$18:$Q$18)</f>
        <v>1.1140000000000001E-2</v>
      </c>
      <c r="L23" s="3"/>
      <c r="M23" s="40"/>
      <c r="N23" s="40"/>
      <c r="O23" s="40"/>
      <c r="P23" s="40"/>
      <c r="Q23" s="40"/>
      <c r="R23" s="40"/>
      <c r="S23" s="40"/>
      <c r="T23" s="40"/>
      <c r="X23" s="3"/>
      <c r="Y23" s="40"/>
      <c r="Z23" s="40"/>
      <c r="AA23" s="40"/>
      <c r="AB23" s="40"/>
      <c r="AC23" s="40"/>
      <c r="AD23" s="40"/>
      <c r="AE23" s="40"/>
      <c r="AF23" s="40"/>
      <c r="AJ23" s="32">
        <v>42919</v>
      </c>
      <c r="AK23" s="43">
        <f t="shared" si="17"/>
        <v>72.250050066673481</v>
      </c>
      <c r="AL23" s="43">
        <f t="shared" si="18"/>
        <v>120.0881617316866</v>
      </c>
      <c r="AM23" s="43">
        <f t="shared" si="19"/>
        <v>100.13479247899586</v>
      </c>
      <c r="AN23" s="43">
        <f t="shared" si="20"/>
        <v>144.64183324236421</v>
      </c>
      <c r="AO23" s="43">
        <f t="shared" si="21"/>
        <v>155.12150319402127</v>
      </c>
      <c r="AP23" s="43">
        <f t="shared" si="22"/>
        <v>120.48633280421636</v>
      </c>
      <c r="AQ23" s="43">
        <f t="shared" si="23"/>
        <v>123.44959564242713</v>
      </c>
      <c r="AR23" s="43">
        <f t="shared" si="24"/>
        <v>120.00242955653347</v>
      </c>
      <c r="AV23" s="31">
        <v>43252</v>
      </c>
      <c r="AW23" s="40">
        <f t="shared" si="25"/>
        <v>0.11912909051659182</v>
      </c>
      <c r="AX23" s="40">
        <f t="shared" si="1"/>
        <v>7.388344688441939E-2</v>
      </c>
      <c r="AY23" s="40">
        <f t="shared" si="2"/>
        <v>0.32284632854844486</v>
      </c>
      <c r="AZ23" s="40">
        <f t="shared" si="3"/>
        <v>0.15476537830337178</v>
      </c>
      <c r="BA23" s="40">
        <f t="shared" si="4"/>
        <v>0.13611512691760752</v>
      </c>
      <c r="BB23" s="40">
        <f t="shared" si="5"/>
        <v>9.06375720385868E-2</v>
      </c>
      <c r="BC23" s="40">
        <f t="shared" si="6"/>
        <v>0.13916724616431164</v>
      </c>
      <c r="BD23" s="40">
        <f t="shared" si="7"/>
        <v>0.18165544585478788</v>
      </c>
      <c r="BH23" s="31">
        <v>43252</v>
      </c>
      <c r="BI23" s="40">
        <f t="shared" si="8"/>
        <v>0.12270025561209204</v>
      </c>
      <c r="BJ23" s="40">
        <f t="shared" si="9"/>
        <v>3.7497878727881517E-3</v>
      </c>
      <c r="BK23" s="40">
        <f t="shared" si="10"/>
        <v>0.13255794959186717</v>
      </c>
      <c r="BL23" s="40">
        <f t="shared" si="11"/>
        <v>0.20748387889183101</v>
      </c>
      <c r="BM23" s="40">
        <f t="shared" si="12"/>
        <v>0.199333368551735</v>
      </c>
      <c r="BN23" s="40">
        <f t="shared" si="13"/>
        <v>1.0285082202349713E-2</v>
      </c>
      <c r="BO23" s="40">
        <f t="shared" si="14"/>
        <v>4.8604263187502383E-2</v>
      </c>
      <c r="BP23" s="40">
        <f t="shared" si="15"/>
        <v>5.3762534669515971E-2</v>
      </c>
    </row>
    <row r="24" spans="1:68" x14ac:dyDescent="0.2">
      <c r="A24" s="32">
        <v>42948</v>
      </c>
      <c r="B24" s="40">
        <v>0</v>
      </c>
      <c r="C24" s="40">
        <v>8.0000000000000002E-3</v>
      </c>
      <c r="D24" s="40">
        <v>9.9000000000000008E-3</v>
      </c>
      <c r="E24" s="40">
        <v>7.3599999999999999E-2</v>
      </c>
      <c r="F24" s="40">
        <v>8.6699999999999999E-2</v>
      </c>
      <c r="G24" s="40">
        <f>SUMPRODUCT($B24:$F24,Carteiras!$M$16:$Q$16)</f>
        <v>1.1375E-2</v>
      </c>
      <c r="H24" s="40">
        <f>SUMPRODUCT($B24:$F24,Carteiras!$M$17:$Q$17)</f>
        <v>2.9529999999999997E-2</v>
      </c>
      <c r="I24" s="40">
        <f>SUMPRODUCT($B24:$F24,Carteiras!$M$18:$Q$18)</f>
        <v>3.4659999999999996E-2</v>
      </c>
      <c r="M24" s="40"/>
      <c r="N24" s="40"/>
      <c r="O24" s="40"/>
      <c r="P24" s="40"/>
      <c r="Q24" s="40"/>
      <c r="R24" s="40"/>
      <c r="S24" s="40"/>
      <c r="T24" s="40"/>
      <c r="Y24" s="40"/>
      <c r="Z24" s="40"/>
      <c r="AA24" s="40"/>
      <c r="AB24" s="40"/>
      <c r="AC24" s="40"/>
      <c r="AD24" s="40"/>
      <c r="AE24" s="40"/>
      <c r="AF24" s="40"/>
      <c r="AJ24" s="32">
        <v>42948</v>
      </c>
      <c r="AK24" s="43">
        <f t="shared" si="17"/>
        <v>67.943947082699736</v>
      </c>
      <c r="AL24" s="43">
        <f t="shared" si="18"/>
        <v>121.04886702554009</v>
      </c>
      <c r="AM24" s="43">
        <f t="shared" si="19"/>
        <v>96.139414259083921</v>
      </c>
      <c r="AN24" s="43">
        <f t="shared" si="20"/>
        <v>151.26642920486449</v>
      </c>
      <c r="AO24" s="43">
        <f t="shared" si="21"/>
        <v>167.93453935784743</v>
      </c>
      <c r="AP24" s="43">
        <f t="shared" si="22"/>
        <v>121.38937786858396</v>
      </c>
      <c r="AQ24" s="43">
        <f t="shared" si="23"/>
        <v>125.21430761213561</v>
      </c>
      <c r="AR24" s="43">
        <f t="shared" si="24"/>
        <v>121.33925662179324</v>
      </c>
      <c r="AV24" s="31">
        <v>43283</v>
      </c>
      <c r="AW24" s="40">
        <f t="shared" si="25"/>
        <v>0.14852348496125356</v>
      </c>
      <c r="AX24" s="40">
        <f t="shared" si="1"/>
        <v>7.1113509422217058E-2</v>
      </c>
      <c r="AY24" s="40">
        <f t="shared" si="2"/>
        <v>0.38498607380157956</v>
      </c>
      <c r="AZ24" s="40">
        <f t="shared" si="3"/>
        <v>0.19992688525748137</v>
      </c>
      <c r="BA24" s="40">
        <f t="shared" si="4"/>
        <v>0.10389756327787847</v>
      </c>
      <c r="BB24" s="40">
        <f t="shared" si="5"/>
        <v>9.2759319184921196E-2</v>
      </c>
      <c r="BC24" s="40">
        <f t="shared" si="6"/>
        <v>0.14841046084636389</v>
      </c>
      <c r="BD24" s="40">
        <f t="shared" si="7"/>
        <v>0.19122073832103537</v>
      </c>
      <c r="BH24" s="31">
        <v>43283</v>
      </c>
      <c r="BI24" s="40">
        <f t="shared" si="8"/>
        <v>0.10915418202957435</v>
      </c>
      <c r="BJ24" s="40">
        <f t="shared" si="9"/>
        <v>3.0395872925597831E-3</v>
      </c>
      <c r="BK24" s="40">
        <f t="shared" si="10"/>
        <v>0.1152999566348574</v>
      </c>
      <c r="BL24" s="40">
        <f t="shared" si="11"/>
        <v>0.21814071146853811</v>
      </c>
      <c r="BM24" s="40">
        <f t="shared" si="12"/>
        <v>0.18963764490110172</v>
      </c>
      <c r="BN24" s="40">
        <f t="shared" si="13"/>
        <v>1.051796936416222E-2</v>
      </c>
      <c r="BO24" s="40">
        <f t="shared" si="14"/>
        <v>4.9891420195168915E-2</v>
      </c>
      <c r="BP24" s="40">
        <f t="shared" si="15"/>
        <v>5.3891268562474247E-2</v>
      </c>
    </row>
    <row r="25" spans="1:68" x14ac:dyDescent="0.2">
      <c r="A25" s="32">
        <v>42979</v>
      </c>
      <c r="B25" s="40">
        <v>6.9999999999999999E-4</v>
      </c>
      <c r="C25" s="40">
        <v>6.4000000000000003E-3</v>
      </c>
      <c r="D25" s="40">
        <v>2.58E-2</v>
      </c>
      <c r="E25" s="40">
        <v>4.6300000000000001E-2</v>
      </c>
      <c r="F25" s="40">
        <v>3.4299999999999997E-2</v>
      </c>
      <c r="G25" s="40">
        <f>SUMPRODUCT($B25:$F25,Carteiras!$M$16:$Q$16)</f>
        <v>9.3650000000000018E-3</v>
      </c>
      <c r="H25" s="40">
        <f>SUMPRODUCT($B25:$F25,Carteiras!$M$17:$Q$17)</f>
        <v>1.9195E-2</v>
      </c>
      <c r="I25" s="40">
        <f>SUMPRODUCT($B25:$F25,Carteiras!$M$18:$Q$18)</f>
        <v>2.2015E-2</v>
      </c>
      <c r="M25" s="40"/>
      <c r="N25" s="40"/>
      <c r="O25" s="40"/>
      <c r="P25" s="40"/>
      <c r="Q25" s="40"/>
      <c r="R25" s="40"/>
      <c r="S25" s="40"/>
      <c r="T25" s="40"/>
      <c r="Y25" s="2" t="s">
        <v>1</v>
      </c>
      <c r="Z25" s="2" t="s">
        <v>30</v>
      </c>
      <c r="AA25" s="2" t="s">
        <v>29</v>
      </c>
      <c r="AB25" s="2" t="s">
        <v>32</v>
      </c>
      <c r="AC25" s="2" t="s">
        <v>33</v>
      </c>
      <c r="AD25" s="2" t="s">
        <v>11</v>
      </c>
      <c r="AE25" s="2" t="s">
        <v>12</v>
      </c>
      <c r="AF25" s="2" t="s">
        <v>13</v>
      </c>
      <c r="AJ25" s="32">
        <v>42979</v>
      </c>
      <c r="AK25" s="43">
        <f t="shared" si="17"/>
        <v>67.943947082699736</v>
      </c>
      <c r="AL25" s="43">
        <f t="shared" si="18"/>
        <v>122.01725796174441</v>
      </c>
      <c r="AM25" s="43">
        <f t="shared" si="19"/>
        <v>97.091194460248857</v>
      </c>
      <c r="AN25" s="43">
        <f t="shared" si="20"/>
        <v>162.3996383943425</v>
      </c>
      <c r="AO25" s="43">
        <f t="shared" si="21"/>
        <v>182.49446392017279</v>
      </c>
      <c r="AP25" s="43">
        <f t="shared" si="22"/>
        <v>122.77018204183909</v>
      </c>
      <c r="AQ25" s="43">
        <f t="shared" si="23"/>
        <v>128.91188611592199</v>
      </c>
      <c r="AR25" s="43">
        <f t="shared" si="24"/>
        <v>125.54487525630458</v>
      </c>
      <c r="AV25" s="31">
        <v>43313</v>
      </c>
      <c r="AW25" s="40">
        <f t="shared" si="25"/>
        <v>0.23569641746981285</v>
      </c>
      <c r="AX25" s="40">
        <f t="shared" si="1"/>
        <v>6.8669500422543939E-2</v>
      </c>
      <c r="AY25" s="40">
        <f t="shared" si="2"/>
        <v>0.53885817745593889</v>
      </c>
      <c r="AZ25" s="40">
        <f t="shared" si="3"/>
        <v>8.3577789919083934E-2</v>
      </c>
      <c r="BA25" s="40">
        <f t="shared" si="4"/>
        <v>-2.6432847478127242E-2</v>
      </c>
      <c r="BB25" s="40">
        <f t="shared" si="5"/>
        <v>9.0960338325751566E-2</v>
      </c>
      <c r="BC25" s="40">
        <f t="shared" si="6"/>
        <v>0.13124894545572841</v>
      </c>
      <c r="BD25" s="40">
        <f t="shared" si="7"/>
        <v>0.18774376363395984</v>
      </c>
      <c r="BH25" s="31">
        <v>43313</v>
      </c>
      <c r="BI25" s="40">
        <f t="shared" si="8"/>
        <v>0.1252141583629641</v>
      </c>
      <c r="BJ25" s="40">
        <f t="shared" si="9"/>
        <v>1.7878376985519791E-3</v>
      </c>
      <c r="BK25" s="40">
        <f t="shared" si="10"/>
        <v>0.14646514943835617</v>
      </c>
      <c r="BL25" s="40">
        <f t="shared" si="11"/>
        <v>0.21353024908131227</v>
      </c>
      <c r="BM25" s="40">
        <f t="shared" si="12"/>
        <v>0.17566899400447836</v>
      </c>
      <c r="BN25" s="40">
        <f t="shared" si="13"/>
        <v>9.9521902568776681E-3</v>
      </c>
      <c r="BO25" s="40">
        <f t="shared" si="14"/>
        <v>4.6120448900874557E-2</v>
      </c>
      <c r="BP25" s="40">
        <f t="shared" si="15"/>
        <v>5.2749534681273802E-2</v>
      </c>
    </row>
    <row r="26" spans="1:68" x14ac:dyDescent="0.2">
      <c r="A26" s="32">
        <v>43010</v>
      </c>
      <c r="B26" s="40">
        <v>2.9899999999999999E-2</v>
      </c>
      <c r="C26" s="40">
        <v>6.4000000000000003E-3</v>
      </c>
      <c r="D26" s="40">
        <v>5.5199999999999999E-2</v>
      </c>
      <c r="E26" s="40">
        <v>2.7000000000000001E-3</v>
      </c>
      <c r="F26" s="40">
        <v>-1.2800000000000001E-2</v>
      </c>
      <c r="G26" s="40">
        <f>SUMPRODUCT($B26:$F26,Carteiras!$M$16:$Q$16)</f>
        <v>8.6549999999999995E-3</v>
      </c>
      <c r="H26" s="40">
        <f>SUMPRODUCT($B26:$F26,Carteiras!$M$17:$Q$17)</f>
        <v>1.1460000000000001E-2</v>
      </c>
      <c r="I26" s="40">
        <f>SUMPRODUCT($B26:$F26,Carteiras!$M$18:$Q$18)</f>
        <v>1.7444999999999999E-2</v>
      </c>
      <c r="M26" s="40"/>
      <c r="N26" s="40"/>
      <c r="O26" s="40"/>
      <c r="P26" s="40"/>
      <c r="Q26" s="40"/>
      <c r="R26" s="40"/>
      <c r="S26" s="40"/>
      <c r="T26" s="40"/>
      <c r="V26" s="3" t="s">
        <v>34</v>
      </c>
      <c r="X26" s="44" t="s">
        <v>3</v>
      </c>
      <c r="Y26" s="45">
        <f>STDEV(B5:B951)*SQRT(12)</f>
        <v>0.16361411984159085</v>
      </c>
      <c r="Z26" s="45">
        <f t="shared" ref="Z26:AF26" si="31">STDEV(C5:C1011)*SQRT(12)</f>
        <v>1.0928305695972045E-2</v>
      </c>
      <c r="AA26" s="45">
        <f t="shared" si="31"/>
        <v>0.18958046850469998</v>
      </c>
      <c r="AB26" s="45">
        <f t="shared" si="31"/>
        <v>0.25261120647076479</v>
      </c>
      <c r="AC26" s="45">
        <f t="shared" si="31"/>
        <v>0.27495051334460446</v>
      </c>
      <c r="AD26" s="45">
        <f t="shared" si="31"/>
        <v>1.6421044009019458E-2</v>
      </c>
      <c r="AE26" s="45">
        <f t="shared" si="31"/>
        <v>7.4695573126280113E-2</v>
      </c>
      <c r="AF26" s="45">
        <f t="shared" si="31"/>
        <v>9.925293597817883E-2</v>
      </c>
      <c r="AJ26" s="32">
        <v>43010</v>
      </c>
      <c r="AK26" s="43">
        <f t="shared" si="17"/>
        <v>67.991507845657623</v>
      </c>
      <c r="AL26" s="43">
        <f t="shared" si="18"/>
        <v>122.79816841269957</v>
      </c>
      <c r="AM26" s="43">
        <f t="shared" si="19"/>
        <v>99.596147277323283</v>
      </c>
      <c r="AN26" s="43">
        <f t="shared" si="20"/>
        <v>169.91874165200056</v>
      </c>
      <c r="AO26" s="43">
        <f t="shared" si="21"/>
        <v>188.7540240326347</v>
      </c>
      <c r="AP26" s="43">
        <f t="shared" si="22"/>
        <v>123.91992479666092</v>
      </c>
      <c r="AQ26" s="43">
        <f t="shared" si="23"/>
        <v>131.38634976991713</v>
      </c>
      <c r="AR26" s="43">
        <f t="shared" si="24"/>
        <v>128.3087456850721</v>
      </c>
      <c r="AV26" s="31">
        <v>43346</v>
      </c>
      <c r="AW26" s="40">
        <f t="shared" si="25"/>
        <v>0.23051012292262296</v>
      </c>
      <c r="AX26" s="40">
        <f t="shared" si="1"/>
        <v>6.6864315455613887E-2</v>
      </c>
      <c r="AY26" s="40">
        <f t="shared" si="2"/>
        <v>0.48695284216643242</v>
      </c>
      <c r="AZ26" s="40">
        <f t="shared" si="3"/>
        <v>7.0425311727386974E-2</v>
      </c>
      <c r="BA26" s="40">
        <f t="shared" si="4"/>
        <v>-7.5285342127537902E-2</v>
      </c>
      <c r="BB26" s="40">
        <f t="shared" si="5"/>
        <v>8.6750473194922462E-2</v>
      </c>
      <c r="BC26" s="40">
        <f t="shared" si="6"/>
        <v>0.1135564448149633</v>
      </c>
      <c r="BD26" s="40">
        <f t="shared" si="7"/>
        <v>0.15586574673941378</v>
      </c>
      <c r="BH26" s="31">
        <v>43346</v>
      </c>
      <c r="BI26" s="40">
        <f t="shared" si="8"/>
        <v>0.12592961959328347</v>
      </c>
      <c r="BJ26" s="40">
        <f t="shared" si="9"/>
        <v>1.7127861406598208E-3</v>
      </c>
      <c r="BK26" s="40">
        <f t="shared" si="10"/>
        <v>0.15336596754169421</v>
      </c>
      <c r="BL26" s="40">
        <f t="shared" si="11"/>
        <v>0.21144187896870895</v>
      </c>
      <c r="BM26" s="40">
        <f t="shared" si="12"/>
        <v>0.17191024084995898</v>
      </c>
      <c r="BN26" s="40">
        <f t="shared" si="13"/>
        <v>9.8255227711950624E-3</v>
      </c>
      <c r="BO26" s="40">
        <f t="shared" si="14"/>
        <v>4.5559494844154544E-2</v>
      </c>
      <c r="BP26" s="40">
        <f t="shared" si="15"/>
        <v>5.5568957652141121E-2</v>
      </c>
    </row>
    <row r="27" spans="1:68" x14ac:dyDescent="0.2">
      <c r="A27" s="32">
        <v>43040</v>
      </c>
      <c r="B27" s="40">
        <v>-1.6999999999999999E-3</v>
      </c>
      <c r="C27" s="40">
        <v>5.7000000000000002E-3</v>
      </c>
      <c r="D27" s="40">
        <v>2.7699999999999999E-2</v>
      </c>
      <c r="E27" s="40">
        <v>-3.3000000000000002E-2</v>
      </c>
      <c r="F27" s="40">
        <v>-2.8000000000000001E-2</v>
      </c>
      <c r="G27" s="40">
        <f>SUMPRODUCT($B27:$F27,Carteiras!$M$16:$Q$16)</f>
        <v>4.8649999999999995E-3</v>
      </c>
      <c r="H27" s="40">
        <f>SUMPRODUCT($B27:$F27,Carteiras!$M$17:$Q$17)</f>
        <v>-2.2300000000000002E-3</v>
      </c>
      <c r="I27" s="40">
        <f>SUMPRODUCT($B27:$F27,Carteiras!$M$18:$Q$18)</f>
        <v>-4.8499999999999932E-4</v>
      </c>
      <c r="M27" s="40"/>
      <c r="N27" s="40"/>
      <c r="O27" s="40"/>
      <c r="P27" s="40"/>
      <c r="Q27" s="40"/>
      <c r="R27" s="40"/>
      <c r="S27" s="40"/>
      <c r="T27" s="40"/>
      <c r="V27" s="3" t="s">
        <v>35</v>
      </c>
      <c r="X27" s="44" t="s">
        <v>7</v>
      </c>
      <c r="Y27" s="45">
        <f t="shared" ref="Y27:AF27" si="32">(1+AVERAGE(B5:B954))^12-1</f>
        <v>2.5134207044708701E-2</v>
      </c>
      <c r="Z27" s="45">
        <f t="shared" si="32"/>
        <v>7.2690336093387486E-2</v>
      </c>
      <c r="AA27" s="45">
        <f t="shared" si="32"/>
        <v>0.23356360209453553</v>
      </c>
      <c r="AB27" s="45">
        <f t="shared" si="32"/>
        <v>0.25601543958970918</v>
      </c>
      <c r="AC27" s="45">
        <f t="shared" si="32"/>
        <v>0.31876947439957104</v>
      </c>
      <c r="AD27" s="45">
        <f t="shared" si="32"/>
        <v>8.8857542850517834E-2</v>
      </c>
      <c r="AE27" s="45">
        <f t="shared" si="32"/>
        <v>0.15469162149565263</v>
      </c>
      <c r="AF27" s="45">
        <f t="shared" si="32"/>
        <v>0.19454106501432378</v>
      </c>
      <c r="AJ27" s="32">
        <v>43040</v>
      </c>
      <c r="AK27" s="43">
        <f t="shared" si="17"/>
        <v>70.024453930242785</v>
      </c>
      <c r="AL27" s="43">
        <f t="shared" si="18"/>
        <v>123.58407669054084</v>
      </c>
      <c r="AM27" s="43">
        <f t="shared" si="19"/>
        <v>105.09385460703152</v>
      </c>
      <c r="AN27" s="43">
        <f t="shared" si="20"/>
        <v>170.37752225446096</v>
      </c>
      <c r="AO27" s="43">
        <f t="shared" si="21"/>
        <v>186.33797252501697</v>
      </c>
      <c r="AP27" s="43">
        <f t="shared" si="22"/>
        <v>124.99245174577604</v>
      </c>
      <c r="AQ27" s="43">
        <f t="shared" si="23"/>
        <v>132.89203733828037</v>
      </c>
      <c r="AR27" s="43">
        <f t="shared" si="24"/>
        <v>130.54709175354816</v>
      </c>
      <c r="AV27" s="31">
        <v>43374</v>
      </c>
      <c r="AW27" s="40">
        <f t="shared" si="25"/>
        <v>9.5857738367442824E-2</v>
      </c>
      <c r="AX27" s="40">
        <f t="shared" si="1"/>
        <v>6.5804235650908538E-2</v>
      </c>
      <c r="AY27" s="40">
        <f t="shared" si="2"/>
        <v>0.21441997666701251</v>
      </c>
      <c r="AZ27" s="40">
        <f t="shared" si="3"/>
        <v>0.1716283829867431</v>
      </c>
      <c r="BA27" s="40">
        <f t="shared" si="4"/>
        <v>5.2949500521105142E-2</v>
      </c>
      <c r="BB27" s="40">
        <f t="shared" si="5"/>
        <v>8.0469083365173111E-2</v>
      </c>
      <c r="BC27" s="40">
        <f t="shared" si="6"/>
        <v>0.11312707834127367</v>
      </c>
      <c r="BD27" s="40">
        <f t="shared" si="7"/>
        <v>0.12890734194099651</v>
      </c>
      <c r="BH27" s="31">
        <v>43374</v>
      </c>
      <c r="BI27" s="40">
        <f t="shared" si="8"/>
        <v>0.16013011470789507</v>
      </c>
      <c r="BJ27" s="40">
        <f t="shared" si="9"/>
        <v>1.330413469565007E-3</v>
      </c>
      <c r="BK27" s="40">
        <f t="shared" si="10"/>
        <v>0.2284205929261354</v>
      </c>
      <c r="BL27" s="40">
        <f t="shared" si="11"/>
        <v>0.22961772777616907</v>
      </c>
      <c r="BM27" s="40">
        <f t="shared" si="12"/>
        <v>0.21463805262898661</v>
      </c>
      <c r="BN27" s="40">
        <f t="shared" si="13"/>
        <v>1.0439094679485977E-2</v>
      </c>
      <c r="BO27" s="40">
        <f t="shared" si="14"/>
        <v>4.5538953430502266E-2</v>
      </c>
      <c r="BP27" s="40">
        <f t="shared" si="15"/>
        <v>5.8159873936964784E-2</v>
      </c>
    </row>
    <row r="28" spans="1:68" x14ac:dyDescent="0.2">
      <c r="A28" s="32">
        <v>43070</v>
      </c>
      <c r="B28" s="40">
        <v>9.4999999999999998E-3</v>
      </c>
      <c r="C28" s="40">
        <v>5.7000000000000002E-3</v>
      </c>
      <c r="D28" s="40">
        <v>3.3700000000000001E-2</v>
      </c>
      <c r="E28" s="40">
        <v>6.3700000000000007E-2</v>
      </c>
      <c r="F28" s="40">
        <v>7.5999999999999998E-2</v>
      </c>
      <c r="G28" s="40">
        <f>SUMPRODUCT($B28:$F28,Carteiras!$M$16:$Q$16)</f>
        <v>0.01</v>
      </c>
      <c r="H28" s="40">
        <f>SUMPRODUCT($B28:$F28,Carteiras!$M$17:$Q$17)</f>
        <v>2.9335E-2</v>
      </c>
      <c r="I28" s="40">
        <f>SUMPRODUCT($B28:$F28,Carteiras!$M$18:$Q$18)</f>
        <v>3.8469999999999997E-2</v>
      </c>
      <c r="M28" s="40"/>
      <c r="N28" s="40"/>
      <c r="O28" s="40"/>
      <c r="P28" s="40"/>
      <c r="Q28" s="40"/>
      <c r="R28" s="40"/>
      <c r="S28" s="40"/>
      <c r="T28" s="40"/>
      <c r="Y28" s="40"/>
      <c r="Z28" s="40"/>
      <c r="AA28" s="40"/>
      <c r="AB28" s="40"/>
      <c r="AC28" s="40"/>
      <c r="AD28" s="40"/>
      <c r="AE28" s="40"/>
      <c r="AF28" s="40"/>
      <c r="AJ28" s="32">
        <v>43070</v>
      </c>
      <c r="AK28" s="43">
        <f t="shared" si="17"/>
        <v>69.905412358561364</v>
      </c>
      <c r="AL28" s="43">
        <f t="shared" si="18"/>
        <v>124.28850592767692</v>
      </c>
      <c r="AM28" s="43">
        <f t="shared" si="19"/>
        <v>108.00495437964629</v>
      </c>
      <c r="AN28" s="43">
        <f t="shared" si="20"/>
        <v>164.75506402006374</v>
      </c>
      <c r="AO28" s="43">
        <f t="shared" si="21"/>
        <v>181.12050929431649</v>
      </c>
      <c r="AP28" s="43">
        <f t="shared" si="22"/>
        <v>125.60054002351923</v>
      </c>
      <c r="AQ28" s="43">
        <f t="shared" si="23"/>
        <v>132.59568809501602</v>
      </c>
      <c r="AR28" s="43">
        <f t="shared" si="24"/>
        <v>130.4837764140477</v>
      </c>
      <c r="AV28" s="31">
        <v>43405</v>
      </c>
      <c r="AW28" s="40">
        <f t="shared" si="25"/>
        <v>0.13493670810187264</v>
      </c>
      <c r="AX28" s="40">
        <f t="shared" si="1"/>
        <v>6.4956424784327282E-2</v>
      </c>
      <c r="AY28" s="40">
        <f t="shared" si="2"/>
        <v>0.2473890506662435</v>
      </c>
      <c r="AZ28" s="40">
        <f t="shared" si="3"/>
        <v>0.24456739917681736</v>
      </c>
      <c r="BA28" s="40">
        <f t="shared" si="4"/>
        <v>0.14297018312738463</v>
      </c>
      <c r="BB28" s="40">
        <f t="shared" si="5"/>
        <v>8.4431335580346989E-2</v>
      </c>
      <c r="BC28" s="40">
        <f t="shared" si="6"/>
        <v>0.14331561752356525</v>
      </c>
      <c r="BD28" s="40">
        <f t="shared" si="7"/>
        <v>0.17371282685597911</v>
      </c>
      <c r="BH28" s="31">
        <v>43405</v>
      </c>
      <c r="BI28" s="40">
        <f t="shared" si="8"/>
        <v>0.16157273341074038</v>
      </c>
      <c r="BJ28" s="40">
        <f t="shared" si="9"/>
        <v>1.3249356759686658E-3</v>
      </c>
      <c r="BK28" s="40">
        <f t="shared" si="10"/>
        <v>0.23135154478137218</v>
      </c>
      <c r="BL28" s="40">
        <f t="shared" si="11"/>
        <v>0.22361898398839034</v>
      </c>
      <c r="BM28" s="40">
        <f t="shared" si="12"/>
        <v>0.21633311855057738</v>
      </c>
      <c r="BN28" s="40">
        <f t="shared" si="13"/>
        <v>1.0469616646624297E-2</v>
      </c>
      <c r="BO28" s="40">
        <f t="shared" si="14"/>
        <v>4.6261142220501365E-2</v>
      </c>
      <c r="BP28" s="40">
        <f t="shared" si="15"/>
        <v>6.3437554693214229E-2</v>
      </c>
    </row>
    <row r="29" spans="1:68" x14ac:dyDescent="0.2">
      <c r="A29" s="32">
        <v>43102</v>
      </c>
      <c r="B29" s="40">
        <v>-4.3099999999999999E-2</v>
      </c>
      <c r="C29" s="40">
        <v>5.7999999999999996E-3</v>
      </c>
      <c r="D29" s="40">
        <v>8.0000000000000002E-3</v>
      </c>
      <c r="E29" s="40">
        <v>0.1108</v>
      </c>
      <c r="F29" s="40">
        <v>4.0099999999999997E-2</v>
      </c>
      <c r="G29" s="40">
        <f>SUMPRODUCT($B29:$F29,Carteiras!$M$16:$Q$16)</f>
        <v>1.116E-2</v>
      </c>
      <c r="H29" s="40">
        <f>SUMPRODUCT($B29:$F29,Carteiras!$M$17:$Q$17)</f>
        <v>2.4579999999999998E-2</v>
      </c>
      <c r="I29" s="40">
        <f>SUMPRODUCT($B29:$F29,Carteiras!$M$18:$Q$18)</f>
        <v>1.711E-2</v>
      </c>
      <c r="M29" s="40"/>
      <c r="N29" s="40"/>
      <c r="O29" s="40"/>
      <c r="P29" s="40"/>
      <c r="Q29" s="40"/>
      <c r="R29" s="40"/>
      <c r="S29" s="40"/>
      <c r="T29" s="40"/>
      <c r="Y29" s="40"/>
      <c r="Z29" s="40"/>
      <c r="AA29" s="40"/>
      <c r="AB29" s="40"/>
      <c r="AC29" s="40"/>
      <c r="AD29" s="40"/>
      <c r="AE29" s="40"/>
      <c r="AF29" s="40"/>
      <c r="AJ29" s="32">
        <v>43102</v>
      </c>
      <c r="AK29" s="43">
        <f t="shared" si="17"/>
        <v>70.569513775967707</v>
      </c>
      <c r="AL29" s="43">
        <f t="shared" si="18"/>
        <v>124.99695041146468</v>
      </c>
      <c r="AM29" s="43">
        <f t="shared" si="19"/>
        <v>111.64472134224037</v>
      </c>
      <c r="AN29" s="43">
        <f t="shared" si="20"/>
        <v>175.24996159814182</v>
      </c>
      <c r="AO29" s="43">
        <f t="shared" si="21"/>
        <v>194.88566800068455</v>
      </c>
      <c r="AP29" s="43">
        <f t="shared" si="22"/>
        <v>126.85654542375443</v>
      </c>
      <c r="AQ29" s="43">
        <f t="shared" si="23"/>
        <v>136.48538260528332</v>
      </c>
      <c r="AR29" s="43">
        <f t="shared" si="24"/>
        <v>135.50348729269612</v>
      </c>
      <c r="AV29" s="31">
        <v>43437</v>
      </c>
      <c r="AW29" s="40">
        <f t="shared" si="25"/>
        <v>0.12774146795144947</v>
      </c>
      <c r="AX29" s="40">
        <f t="shared" si="1"/>
        <v>6.4109288322332647E-2</v>
      </c>
      <c r="AY29" s="40">
        <f t="shared" si="2"/>
        <v>9.7755460376396819E-2</v>
      </c>
      <c r="AZ29" s="40">
        <f t="shared" si="3"/>
        <v>0.14605035958794055</v>
      </c>
      <c r="BA29" s="40">
        <f t="shared" si="4"/>
        <v>7.5305498494285805E-2</v>
      </c>
      <c r="BB29" s="40">
        <f t="shared" si="5"/>
        <v>7.2481117001129691E-2</v>
      </c>
      <c r="BC29" s="40">
        <f t="shared" si="6"/>
        <v>9.7214673996612433E-2</v>
      </c>
      <c r="BD29" s="40">
        <f t="shared" si="7"/>
        <v>0.104361743959138</v>
      </c>
      <c r="BH29" s="31">
        <v>43437</v>
      </c>
      <c r="BI29" s="40">
        <f t="shared" si="8"/>
        <v>0.16179044527356423</v>
      </c>
      <c r="BJ29" s="40">
        <f t="shared" si="9"/>
        <v>1.2745765785332219E-3</v>
      </c>
      <c r="BK29" s="40">
        <f t="shared" si="10"/>
        <v>0.25568668860007693</v>
      </c>
      <c r="BL29" s="40">
        <f t="shared" si="11"/>
        <v>0.2216385489115924</v>
      </c>
      <c r="BM29" s="40">
        <f t="shared" si="12"/>
        <v>0.20518171768636517</v>
      </c>
      <c r="BN29" s="40">
        <f t="shared" si="13"/>
        <v>1.2463423942225358E-2</v>
      </c>
      <c r="BO29" s="40">
        <f t="shared" si="14"/>
        <v>4.7222762904807203E-2</v>
      </c>
      <c r="BP29" s="40">
        <f t="shared" si="15"/>
        <v>6.6770546582374843E-2</v>
      </c>
    </row>
    <row r="30" spans="1:68" x14ac:dyDescent="0.2">
      <c r="A30" s="32">
        <v>43132</v>
      </c>
      <c r="B30" s="40">
        <v>1.6400000000000001E-2</v>
      </c>
      <c r="C30" s="40">
        <v>4.5999999999999999E-3</v>
      </c>
      <c r="D30" s="40">
        <v>-1.7999999999999999E-2</v>
      </c>
      <c r="E30" s="40">
        <v>6.1000000000000004E-3</v>
      </c>
      <c r="F30" s="40">
        <v>-6.4999999999999997E-3</v>
      </c>
      <c r="G30" s="40">
        <f>SUMPRODUCT($B30:$F30,Carteiras!$M$16:$Q$16)</f>
        <v>3.5450000000000008E-3</v>
      </c>
      <c r="H30" s="40">
        <f>SUMPRODUCT($B30:$F30,Carteiras!$M$17:$Q$17)</f>
        <v>3.6000000000000029E-4</v>
      </c>
      <c r="I30" s="40">
        <f>SUMPRODUCT($B30:$F30,Carteiras!$M$18:$Q$18)</f>
        <v>-4.2549999999999992E-3</v>
      </c>
      <c r="M30" s="40"/>
      <c r="N30" s="40"/>
      <c r="O30" s="40"/>
      <c r="P30" s="40"/>
      <c r="Q30" s="40"/>
      <c r="R30" s="40"/>
      <c r="S30" s="40"/>
      <c r="T30" s="40"/>
      <c r="Y30" s="40"/>
      <c r="Z30" s="40"/>
      <c r="AA30" s="40"/>
      <c r="AB30" s="40"/>
      <c r="AC30" s="40"/>
      <c r="AD30" s="40"/>
      <c r="AE30" s="40"/>
      <c r="AF30" s="40"/>
      <c r="AJ30" s="32">
        <v>43132</v>
      </c>
      <c r="AK30" s="43">
        <f t="shared" si="17"/>
        <v>67.527967732223502</v>
      </c>
      <c r="AL30" s="43">
        <f t="shared" si="18"/>
        <v>125.72193272385118</v>
      </c>
      <c r="AM30" s="43">
        <f t="shared" si="19"/>
        <v>112.5378791129783</v>
      </c>
      <c r="AN30" s="43">
        <f t="shared" si="20"/>
        <v>194.66765734321595</v>
      </c>
      <c r="AO30" s="43">
        <f t="shared" si="21"/>
        <v>202.70058328751199</v>
      </c>
      <c r="AP30" s="43">
        <f t="shared" si="22"/>
        <v>128.27226447068352</v>
      </c>
      <c r="AQ30" s="43">
        <f t="shared" si="23"/>
        <v>139.8401933097212</v>
      </c>
      <c r="AR30" s="43">
        <f t="shared" si="24"/>
        <v>137.82195196027413</v>
      </c>
      <c r="AV30" s="31">
        <v>43467</v>
      </c>
      <c r="AW30" s="40">
        <f t="shared" si="25"/>
        <v>0.1065278129999121</v>
      </c>
      <c r="AX30" s="40">
        <f t="shared" si="1"/>
        <v>6.3686099104467431E-2</v>
      </c>
      <c r="AY30" s="40">
        <f t="shared" si="2"/>
        <v>0.10831917859628892</v>
      </c>
      <c r="AZ30" s="40">
        <f t="shared" si="3"/>
        <v>0.14635987985070309</v>
      </c>
      <c r="BA30" s="40">
        <f t="shared" si="4"/>
        <v>0.13185699428088093</v>
      </c>
      <c r="BB30" s="40">
        <f t="shared" si="5"/>
        <v>7.2629607206814661E-2</v>
      </c>
      <c r="BC30" s="40">
        <f t="shared" si="6"/>
        <v>0.10642970090494597</v>
      </c>
      <c r="BD30" s="40">
        <f t="shared" si="7"/>
        <v>0.12329238765148953</v>
      </c>
      <c r="BH30" s="31">
        <v>43467</v>
      </c>
      <c r="BI30" s="40">
        <f t="shared" si="8"/>
        <v>0.16919736458295734</v>
      </c>
      <c r="BJ30" s="40">
        <f t="shared" si="9"/>
        <v>1.1196590390098069E-3</v>
      </c>
      <c r="BK30" s="40">
        <f t="shared" si="10"/>
        <v>0.25577375656125184</v>
      </c>
      <c r="BL30" s="40">
        <f t="shared" si="11"/>
        <v>0.22178268642975715</v>
      </c>
      <c r="BM30" s="40">
        <f t="shared" si="12"/>
        <v>0.22127223873853588</v>
      </c>
      <c r="BN30" s="40">
        <f t="shared" si="13"/>
        <v>1.252905532243861E-2</v>
      </c>
      <c r="BO30" s="40">
        <f t="shared" si="14"/>
        <v>5.1168464253785344E-2</v>
      </c>
      <c r="BP30" s="40">
        <f t="shared" si="15"/>
        <v>7.1349565632238376E-2</v>
      </c>
    </row>
    <row r="31" spans="1:68" x14ac:dyDescent="0.2">
      <c r="A31" s="32">
        <v>43160</v>
      </c>
      <c r="B31" s="40">
        <v>1.41E-2</v>
      </c>
      <c r="C31" s="40">
        <v>5.3E-3</v>
      </c>
      <c r="D31" s="40">
        <v>-1.0200000000000001E-2</v>
      </c>
      <c r="E31" s="40">
        <v>-8.0000000000000004E-4</v>
      </c>
      <c r="F31" s="40">
        <v>1.1999999999999999E-3</v>
      </c>
      <c r="G31" s="40">
        <f>SUMPRODUCT($B31:$F31,Carteiras!$M$16:$Q$16)</f>
        <v>4.2199999999999998E-3</v>
      </c>
      <c r="H31" s="40">
        <f>SUMPRODUCT($B31:$F31,Carteiras!$M$17:$Q$17)</f>
        <v>1.8849999999999997E-3</v>
      </c>
      <c r="I31" s="40">
        <f>SUMPRODUCT($B31:$F31,Carteiras!$M$18:$Q$18)</f>
        <v>-5.00000000000023E-6</v>
      </c>
      <c r="M31" s="40"/>
      <c r="N31" s="40"/>
      <c r="O31" s="40"/>
      <c r="P31" s="40"/>
      <c r="Q31" s="40"/>
      <c r="R31" s="40"/>
      <c r="S31" s="40"/>
      <c r="T31" s="40"/>
      <c r="X31" s="2"/>
      <c r="Y31" s="46"/>
      <c r="Z31" s="46"/>
      <c r="AA31" s="40"/>
      <c r="AB31" s="40"/>
      <c r="AC31" s="40"/>
      <c r="AD31" s="40"/>
      <c r="AE31" s="40"/>
      <c r="AF31" s="40"/>
      <c r="AJ31" s="32">
        <v>43160</v>
      </c>
      <c r="AK31" s="43">
        <f t="shared" si="17"/>
        <v>68.635426403031971</v>
      </c>
      <c r="AL31" s="43">
        <f t="shared" si="18"/>
        <v>126.30025361438089</v>
      </c>
      <c r="AM31" s="43">
        <f t="shared" si="19"/>
        <v>110.51219728894469</v>
      </c>
      <c r="AN31" s="43">
        <f t="shared" si="20"/>
        <v>195.85513005300956</v>
      </c>
      <c r="AO31" s="43">
        <f t="shared" si="21"/>
        <v>201.38302949614317</v>
      </c>
      <c r="AP31" s="43">
        <f t="shared" si="22"/>
        <v>128.72698964823209</v>
      </c>
      <c r="AQ31" s="43">
        <f t="shared" si="23"/>
        <v>139.8905357793127</v>
      </c>
      <c r="AR31" s="43">
        <f t="shared" si="24"/>
        <v>137.23551955468318</v>
      </c>
      <c r="AV31" s="31">
        <v>43497</v>
      </c>
      <c r="AW31" s="40">
        <f t="shared" si="25"/>
        <v>0.11828548751821089</v>
      </c>
      <c r="AX31" s="40">
        <f t="shared" si="1"/>
        <v>6.4003743768742849E-2</v>
      </c>
      <c r="AY31" s="40">
        <f t="shared" si="2"/>
        <v>0.20131866975345236</v>
      </c>
      <c r="AZ31" s="40">
        <f t="shared" si="3"/>
        <v>0.11331700487240015</v>
      </c>
      <c r="BA31" s="40">
        <f t="shared" si="4"/>
        <v>0.11613517594059242</v>
      </c>
      <c r="BB31" s="40">
        <f t="shared" si="5"/>
        <v>7.577199847495697E-2</v>
      </c>
      <c r="BC31" s="40">
        <f t="shared" si="6"/>
        <v>0.11376268994589167</v>
      </c>
      <c r="BD31" s="40">
        <f t="shared" si="7"/>
        <v>0.1461757424094956</v>
      </c>
      <c r="BH31" s="31">
        <v>43497</v>
      </c>
      <c r="BI31" s="40">
        <f t="shared" si="8"/>
        <v>0.17001532283885473</v>
      </c>
      <c r="BJ31" s="40">
        <f t="shared" si="9"/>
        <v>9.8903074683339277E-4</v>
      </c>
      <c r="BK31" s="40">
        <f t="shared" si="10"/>
        <v>0.25878433983812571</v>
      </c>
      <c r="BL31" s="40">
        <f t="shared" si="11"/>
        <v>0.22468907000968735</v>
      </c>
      <c r="BM31" s="40">
        <f t="shared" si="12"/>
        <v>0.2229705973278254</v>
      </c>
      <c r="BN31" s="40">
        <f t="shared" si="13"/>
        <v>1.2277366833471909E-2</v>
      </c>
      <c r="BO31" s="40">
        <f t="shared" si="14"/>
        <v>5.043322036028524E-2</v>
      </c>
      <c r="BP31" s="40">
        <f t="shared" si="15"/>
        <v>6.9817846116617163E-2</v>
      </c>
    </row>
    <row r="32" spans="1:68" x14ac:dyDescent="0.2">
      <c r="A32" s="32">
        <v>43192</v>
      </c>
      <c r="B32" s="40">
        <v>5.8799999999999998E-2</v>
      </c>
      <c r="C32" s="40">
        <v>5.1999999999999998E-3</v>
      </c>
      <c r="D32" s="40">
        <v>6.4799999999999996E-2</v>
      </c>
      <c r="E32" s="40">
        <v>9.1000000000000004E-3</v>
      </c>
      <c r="F32" s="40">
        <v>2.1700000000000001E-2</v>
      </c>
      <c r="G32" s="40">
        <f>SUMPRODUCT($B32:$F32,Carteiras!$M$16:$Q$16)</f>
        <v>8.3750000000000005E-3</v>
      </c>
      <c r="H32" s="40">
        <f>SUMPRODUCT($B32:$F32,Carteiras!$M$17:$Q$17)</f>
        <v>1.9880000000000002E-2</v>
      </c>
      <c r="I32" s="40">
        <f>SUMPRODUCT($B32:$F32,Carteiras!$M$18:$Q$18)</f>
        <v>3.3584999999999997E-2</v>
      </c>
      <c r="M32" s="40"/>
      <c r="N32" s="40"/>
      <c r="O32" s="40"/>
      <c r="P32" s="40"/>
      <c r="Q32" s="40"/>
      <c r="R32" s="40"/>
      <c r="S32" s="40"/>
      <c r="T32" s="40"/>
      <c r="X32" s="2"/>
      <c r="Y32" s="46"/>
      <c r="Z32" s="46"/>
      <c r="AA32" s="40"/>
      <c r="AB32" s="40"/>
      <c r="AC32" s="40"/>
      <c r="AD32" s="40"/>
      <c r="AE32" s="40"/>
      <c r="AF32" s="40"/>
      <c r="AJ32" s="32">
        <v>43192</v>
      </c>
      <c r="AK32" s="43">
        <f t="shared" si="17"/>
        <v>69.603185915314725</v>
      </c>
      <c r="AL32" s="43">
        <f t="shared" si="18"/>
        <v>126.96964495853712</v>
      </c>
      <c r="AM32" s="43">
        <f t="shared" si="19"/>
        <v>109.38497287659746</v>
      </c>
      <c r="AN32" s="43">
        <f t="shared" si="20"/>
        <v>195.69844594896716</v>
      </c>
      <c r="AO32" s="43">
        <f t="shared" si="21"/>
        <v>201.62468913153856</v>
      </c>
      <c r="AP32" s="43">
        <f t="shared" si="22"/>
        <v>129.27021754454762</v>
      </c>
      <c r="AQ32" s="43">
        <f t="shared" si="23"/>
        <v>140.15422943925668</v>
      </c>
      <c r="AR32" s="43">
        <f t="shared" si="24"/>
        <v>137.23483337708541</v>
      </c>
      <c r="AV32" s="31">
        <v>43525</v>
      </c>
      <c r="AW32" s="40">
        <f t="shared" si="25"/>
        <v>0.15103677336703369</v>
      </c>
      <c r="AX32" s="40">
        <f t="shared" si="1"/>
        <v>6.3368707216210352E-2</v>
      </c>
      <c r="AY32" s="40">
        <f t="shared" si="2"/>
        <v>0.28894769375446216</v>
      </c>
      <c r="AZ32" s="40">
        <f t="shared" si="3"/>
        <v>0.11376268822102809</v>
      </c>
      <c r="BA32" s="40">
        <f t="shared" si="4"/>
        <v>0.1185877302624756</v>
      </c>
      <c r="BB32" s="40">
        <f t="shared" si="5"/>
        <v>7.9082165047309694E-2</v>
      </c>
      <c r="BC32" s="40">
        <f t="shared" si="6"/>
        <v>0.12755292152813724</v>
      </c>
      <c r="BD32" s="40">
        <f t="shared" si="7"/>
        <v>0.17501366827814757</v>
      </c>
      <c r="BH32" s="31">
        <v>43525</v>
      </c>
      <c r="BI32" s="40">
        <f t="shared" si="8"/>
        <v>0.17326915478526467</v>
      </c>
      <c r="BJ32" s="40">
        <f t="shared" si="9"/>
        <v>1.0887858124785359E-3</v>
      </c>
      <c r="BK32" s="40">
        <f t="shared" si="10"/>
        <v>0.26026386610515101</v>
      </c>
      <c r="BL32" s="40">
        <f t="shared" si="11"/>
        <v>0.22466670263465224</v>
      </c>
      <c r="BM32" s="40">
        <f t="shared" si="12"/>
        <v>0.22287504856472218</v>
      </c>
      <c r="BN32" s="40">
        <f t="shared" si="13"/>
        <v>1.2146364963155921E-2</v>
      </c>
      <c r="BO32" s="40">
        <f t="shared" si="14"/>
        <v>5.0016989386334781E-2</v>
      </c>
      <c r="BP32" s="40">
        <f t="shared" si="15"/>
        <v>6.9781800180015688E-2</v>
      </c>
    </row>
    <row r="33" spans="1:68" x14ac:dyDescent="0.2">
      <c r="A33" s="32">
        <v>43222</v>
      </c>
      <c r="B33" s="40">
        <v>5.6599999999999998E-2</v>
      </c>
      <c r="C33" s="40">
        <v>5.1999999999999998E-3</v>
      </c>
      <c r="D33" s="40">
        <v>0.10009999999999999</v>
      </c>
      <c r="E33" s="40">
        <v>-0.1095</v>
      </c>
      <c r="F33" s="40">
        <v>-0.1118</v>
      </c>
      <c r="G33" s="40">
        <f>SUMPRODUCT($B33:$F33,Carteiras!$M$16:$Q$16)</f>
        <v>4.2099999999999985E-3</v>
      </c>
      <c r="H33" s="40">
        <f>SUMPRODUCT($B33:$F33,Carteiras!$M$17:$Q$17)</f>
        <v>-1.2750000000000001E-2</v>
      </c>
      <c r="I33" s="40">
        <f>SUMPRODUCT($B33:$F33,Carteiras!$M$18:$Q$18)</f>
        <v>-2.025000000000006E-3</v>
      </c>
      <c r="M33" s="40"/>
      <c r="N33" s="40"/>
      <c r="O33" s="40"/>
      <c r="P33" s="40"/>
      <c r="Q33" s="40"/>
      <c r="R33" s="40"/>
      <c r="S33" s="40"/>
      <c r="T33" s="40"/>
      <c r="X33" s="2"/>
      <c r="Y33" s="46"/>
      <c r="Z33" s="46"/>
      <c r="AA33" s="40"/>
      <c r="AB33" s="40"/>
      <c r="AC33" s="40"/>
      <c r="AD33" s="40"/>
      <c r="AE33" s="40"/>
      <c r="AF33" s="40"/>
      <c r="AJ33" s="32">
        <v>43222</v>
      </c>
      <c r="AK33" s="43">
        <f t="shared" si="17"/>
        <v>73.695853247135233</v>
      </c>
      <c r="AL33" s="43">
        <f t="shared" si="18"/>
        <v>127.62988711232153</v>
      </c>
      <c r="AM33" s="43">
        <f t="shared" si="19"/>
        <v>116.47311911900097</v>
      </c>
      <c r="AN33" s="43">
        <f t="shared" si="20"/>
        <v>197.47930180710279</v>
      </c>
      <c r="AO33" s="43">
        <f t="shared" si="21"/>
        <v>205.99994488569297</v>
      </c>
      <c r="AP33" s="43">
        <f t="shared" si="22"/>
        <v>130.3528556164832</v>
      </c>
      <c r="AQ33" s="43">
        <f t="shared" si="23"/>
        <v>142.9404955205091</v>
      </c>
      <c r="AR33" s="43">
        <f t="shared" si="24"/>
        <v>141.84386525605481</v>
      </c>
      <c r="AV33" s="31">
        <v>43556</v>
      </c>
      <c r="AW33" s="40">
        <f t="shared" si="25"/>
        <v>8.5157638057208773E-2</v>
      </c>
      <c r="AX33" s="40">
        <f t="shared" si="1"/>
        <v>6.3368707216210352E-2</v>
      </c>
      <c r="AY33" s="40">
        <f t="shared" si="2"/>
        <v>0.25868502250740932</v>
      </c>
      <c r="AZ33" s="40">
        <f t="shared" si="3"/>
        <v>0.11663235722248921</v>
      </c>
      <c r="BA33" s="40">
        <f t="shared" si="4"/>
        <v>0.11070495483143938</v>
      </c>
      <c r="BB33" s="40">
        <f t="shared" si="5"/>
        <v>7.7883630747219934E-2</v>
      </c>
      <c r="BC33" s="40">
        <f t="shared" si="6"/>
        <v>0.1192942829394652</v>
      </c>
      <c r="BD33" s="40">
        <f t="shared" si="7"/>
        <v>0.15729043981754076</v>
      </c>
      <c r="BH33" s="31">
        <v>43556</v>
      </c>
      <c r="BI33" s="40">
        <f t="shared" si="8"/>
        <v>0.16622982994527896</v>
      </c>
      <c r="BJ33" s="40">
        <f t="shared" si="9"/>
        <v>1.0887858124785359E-3</v>
      </c>
      <c r="BK33" s="40">
        <f t="shared" si="10"/>
        <v>0.25717434482538032</v>
      </c>
      <c r="BL33" s="40">
        <f t="shared" si="11"/>
        <v>0.22465860159968784</v>
      </c>
      <c r="BM33" s="40">
        <f t="shared" si="12"/>
        <v>0.22262351423627533</v>
      </c>
      <c r="BN33" s="40">
        <f t="shared" si="13"/>
        <v>1.1995208134159994E-2</v>
      </c>
      <c r="BO33" s="40">
        <f t="shared" si="14"/>
        <v>4.8978620196608598E-2</v>
      </c>
      <c r="BP33" s="40">
        <f t="shared" si="15"/>
        <v>6.6608398255639037E-2</v>
      </c>
    </row>
    <row r="34" spans="1:68" x14ac:dyDescent="0.2">
      <c r="A34" s="32">
        <v>43252</v>
      </c>
      <c r="B34" s="40">
        <v>3.8399999999999997E-2</v>
      </c>
      <c r="C34" s="40">
        <v>5.1999999999999998E-3</v>
      </c>
      <c r="D34" s="40">
        <v>3.3799999999999997E-2</v>
      </c>
      <c r="E34" s="40">
        <v>-5.0200000000000002E-2</v>
      </c>
      <c r="F34" s="40">
        <v>-3.6799999999999999E-2</v>
      </c>
      <c r="G34" s="40">
        <f>SUMPRODUCT($B34:$F34,Carteiras!$M$16:$Q$16)</f>
        <v>3.8599999999999997E-3</v>
      </c>
      <c r="H34" s="40">
        <f>SUMPRODUCT($B34:$F34,Carteiras!$M$17:$Q$17)</f>
        <v>-3.4600000000000021E-3</v>
      </c>
      <c r="I34" s="40">
        <f>SUMPRODUCT($B34:$F34,Carteiras!$M$18:$Q$18)</f>
        <v>1.7299999999999989E-3</v>
      </c>
      <c r="M34" s="40"/>
      <c r="N34" s="40"/>
      <c r="O34" s="40"/>
      <c r="P34" s="40"/>
      <c r="Q34" s="40"/>
      <c r="R34" s="40"/>
      <c r="S34" s="40"/>
      <c r="T34" s="40"/>
      <c r="X34" s="2"/>
      <c r="Y34" s="46"/>
      <c r="Z34" s="46"/>
      <c r="AA34" s="40"/>
      <c r="AB34" s="40"/>
      <c r="AC34" s="40"/>
      <c r="AD34" s="40"/>
      <c r="AE34" s="40"/>
      <c r="AF34" s="40"/>
      <c r="AJ34" s="32">
        <v>43252</v>
      </c>
      <c r="AK34" s="43">
        <f t="shared" si="17"/>
        <v>77.86703854092309</v>
      </c>
      <c r="AL34" s="43">
        <f t="shared" si="18"/>
        <v>128.29356252530562</v>
      </c>
      <c r="AM34" s="43">
        <f t="shared" si="19"/>
        <v>128.13207834281297</v>
      </c>
      <c r="AN34" s="43">
        <f t="shared" si="20"/>
        <v>175.85531825922502</v>
      </c>
      <c r="AO34" s="43">
        <f t="shared" si="21"/>
        <v>182.96915104747248</v>
      </c>
      <c r="AP34" s="43">
        <f t="shared" si="22"/>
        <v>130.90164113862861</v>
      </c>
      <c r="AQ34" s="43">
        <f t="shared" si="23"/>
        <v>141.11800420262261</v>
      </c>
      <c r="AR34" s="43">
        <f t="shared" si="24"/>
        <v>141.55663142891129</v>
      </c>
      <c r="AV34" s="31">
        <v>43587</v>
      </c>
      <c r="AW34" s="40">
        <f t="shared" si="25"/>
        <v>2.6000833256816458E-2</v>
      </c>
      <c r="AX34" s="40">
        <f t="shared" si="1"/>
        <v>6.3580280775147102E-2</v>
      </c>
      <c r="AY34" s="40">
        <f t="shared" si="2"/>
        <v>7.1501248593935918E-2</v>
      </c>
      <c r="AZ34" s="40">
        <f t="shared" si="3"/>
        <v>0.2634685717432681</v>
      </c>
      <c r="BA34" s="40">
        <f t="shared" si="4"/>
        <v>0.27352164602605011</v>
      </c>
      <c r="BB34" s="40">
        <f t="shared" si="5"/>
        <v>7.5581263326109704E-2</v>
      </c>
      <c r="BC34" s="40">
        <f t="shared" si="6"/>
        <v>0.1303766851838144</v>
      </c>
      <c r="BD34" s="40">
        <f t="shared" si="7"/>
        <v>0.14583900757404966</v>
      </c>
      <c r="BH34" s="31">
        <v>43587</v>
      </c>
      <c r="BI34" s="40">
        <f t="shared" si="8"/>
        <v>0.15757491724717659</v>
      </c>
      <c r="BJ34" s="40">
        <f t="shared" si="9"/>
        <v>1.1200649331826506E-3</v>
      </c>
      <c r="BK34" s="40">
        <f t="shared" si="10"/>
        <v>0.254967284888937</v>
      </c>
      <c r="BL34" s="40">
        <f t="shared" si="11"/>
        <v>0.18264424187723269</v>
      </c>
      <c r="BM34" s="40">
        <f t="shared" si="12"/>
        <v>0.17811184433077182</v>
      </c>
      <c r="BN34" s="40">
        <f t="shared" si="13"/>
        <v>1.2575780022798518E-2</v>
      </c>
      <c r="BO34" s="40">
        <f t="shared" si="14"/>
        <v>4.4937237519779641E-2</v>
      </c>
      <c r="BP34" s="40">
        <f t="shared" si="15"/>
        <v>6.9608395049474012E-2</v>
      </c>
    </row>
    <row r="35" spans="1:68" x14ac:dyDescent="0.2">
      <c r="A35" s="32">
        <v>43283</v>
      </c>
      <c r="B35" s="40">
        <v>-3.49E-2</v>
      </c>
      <c r="C35" s="40">
        <v>5.4000000000000003E-3</v>
      </c>
      <c r="D35" s="40">
        <v>5.1999999999999998E-3</v>
      </c>
      <c r="E35" s="40">
        <v>8.6699999999999999E-2</v>
      </c>
      <c r="F35" s="40">
        <v>5.1900000000000002E-2</v>
      </c>
      <c r="G35" s="40">
        <f>SUMPRODUCT($B35:$F35,Carteiras!$M$16:$Q$16)</f>
        <v>9.4550000000000016E-3</v>
      </c>
      <c r="H35" s="40">
        <f>SUMPRODUCT($B35:$F35,Carteiras!$M$17:$Q$17)</f>
        <v>2.2525E-2</v>
      </c>
      <c r="I35" s="40">
        <f>SUMPRODUCT($B35:$F35,Carteiras!$M$18:$Q$18)</f>
        <v>1.9325000000000002E-2</v>
      </c>
      <c r="M35" s="40"/>
      <c r="N35" s="40"/>
      <c r="O35" s="40"/>
      <c r="P35" s="40"/>
      <c r="Q35" s="40"/>
      <c r="R35" s="40"/>
      <c r="S35" s="40"/>
      <c r="T35" s="40"/>
      <c r="X35" s="2"/>
      <c r="Y35" s="46"/>
      <c r="Z35" s="46"/>
      <c r="AA35" s="40"/>
      <c r="AB35" s="40"/>
      <c r="AC35" s="40"/>
      <c r="AD35" s="40"/>
      <c r="AE35" s="40"/>
      <c r="AF35" s="40"/>
      <c r="AJ35" s="32">
        <v>43283</v>
      </c>
      <c r="AK35" s="43">
        <f t="shared" si="17"/>
        <v>80.857132820894535</v>
      </c>
      <c r="AL35" s="43">
        <f t="shared" si="18"/>
        <v>128.96068905043722</v>
      </c>
      <c r="AM35" s="43">
        <f t="shared" si="19"/>
        <v>132.46294259080005</v>
      </c>
      <c r="AN35" s="43">
        <f t="shared" si="20"/>
        <v>167.02738128261191</v>
      </c>
      <c r="AO35" s="43">
        <f t="shared" si="21"/>
        <v>176.23588628892551</v>
      </c>
      <c r="AP35" s="43">
        <f t="shared" si="22"/>
        <v>131.40692147342372</v>
      </c>
      <c r="AQ35" s="43">
        <f t="shared" si="23"/>
        <v>140.62973590808153</v>
      </c>
      <c r="AR35" s="43">
        <f t="shared" si="24"/>
        <v>141.8015244012833</v>
      </c>
      <c r="AV35" s="31">
        <v>43619</v>
      </c>
      <c r="AW35" s="40">
        <f t="shared" si="25"/>
        <v>-3.3677951728461109E-2</v>
      </c>
      <c r="AX35" s="40">
        <f t="shared" si="1"/>
        <v>6.3051241638270916E-2</v>
      </c>
      <c r="AY35" s="40">
        <f t="shared" si="2"/>
        <v>7.8341941417228389E-2</v>
      </c>
      <c r="AZ35" s="40">
        <f t="shared" si="3"/>
        <v>0.38026425567573741</v>
      </c>
      <c r="BA35" s="40">
        <f t="shared" si="4"/>
        <v>0.41499466941141927</v>
      </c>
      <c r="BB35" s="40">
        <f t="shared" si="5"/>
        <v>8.0156335541759827E-2</v>
      </c>
      <c r="BC35" s="40">
        <f t="shared" si="6"/>
        <v>0.16093476403549323</v>
      </c>
      <c r="BD35" s="40">
        <f t="shared" si="7"/>
        <v>0.1827914090591598</v>
      </c>
      <c r="BH35" s="31">
        <v>43619</v>
      </c>
      <c r="BI35" s="40">
        <f t="shared" si="8"/>
        <v>0.15435710661850446</v>
      </c>
      <c r="BJ35" s="40">
        <f t="shared" si="9"/>
        <v>1.2041594578792295E-3</v>
      </c>
      <c r="BK35" s="40">
        <f t="shared" si="10"/>
        <v>0.25577106240471453</v>
      </c>
      <c r="BL35" s="40">
        <f t="shared" si="11"/>
        <v>0.16566830771701077</v>
      </c>
      <c r="BM35" s="40">
        <f t="shared" si="12"/>
        <v>0.17192596715394154</v>
      </c>
      <c r="BN35" s="40">
        <f t="shared" si="13"/>
        <v>1.2471945517841242E-2</v>
      </c>
      <c r="BO35" s="40">
        <f t="shared" si="14"/>
        <v>4.3976204180112097E-2</v>
      </c>
      <c r="BP35" s="40">
        <f t="shared" si="15"/>
        <v>7.2067797625190791E-2</v>
      </c>
    </row>
    <row r="36" spans="1:68" x14ac:dyDescent="0.2">
      <c r="A36" s="32">
        <v>43313</v>
      </c>
      <c r="B36" s="40">
        <v>7.5899999999999995E-2</v>
      </c>
      <c r="C36" s="40">
        <v>5.7000000000000002E-3</v>
      </c>
      <c r="D36" s="40">
        <v>0.1221</v>
      </c>
      <c r="E36" s="40">
        <v>-3.0499999999999999E-2</v>
      </c>
      <c r="F36" s="40">
        <v>-4.1599999999999998E-2</v>
      </c>
      <c r="G36" s="40">
        <f>SUMPRODUCT($B36:$F36,Carteiras!$M$16:$Q$16)</f>
        <v>9.7099999999999999E-3</v>
      </c>
      <c r="H36" s="40">
        <f>SUMPRODUCT($B36:$F36,Carteiras!$M$17:$Q$17)</f>
        <v>1.4144999999999998E-2</v>
      </c>
      <c r="I36" s="40">
        <f>SUMPRODUCT($B36:$F36,Carteiras!$M$18:$Q$18)</f>
        <v>3.1639999999999995E-2</v>
      </c>
      <c r="M36" s="40"/>
      <c r="N36" s="40"/>
      <c r="O36" s="40"/>
      <c r="P36" s="40"/>
      <c r="Q36" s="40"/>
      <c r="R36" s="40"/>
      <c r="S36" s="40"/>
      <c r="T36" s="40"/>
      <c r="X36" s="2"/>
      <c r="Y36" s="46"/>
      <c r="Z36" s="46"/>
      <c r="AA36" s="40"/>
      <c r="AB36" s="40"/>
      <c r="AC36" s="40"/>
      <c r="AD36" s="40"/>
      <c r="AE36" s="40"/>
      <c r="AF36" s="40"/>
      <c r="AJ36" s="32">
        <v>43313</v>
      </c>
      <c r="AK36" s="43">
        <f t="shared" si="17"/>
        <v>78.035218885445317</v>
      </c>
      <c r="AL36" s="43">
        <f t="shared" si="18"/>
        <v>129.65707677130959</v>
      </c>
      <c r="AM36" s="43">
        <f t="shared" si="19"/>
        <v>133.15174989227222</v>
      </c>
      <c r="AN36" s="43">
        <f t="shared" si="20"/>
        <v>181.50865523981437</v>
      </c>
      <c r="AO36" s="43">
        <f t="shared" si="21"/>
        <v>185.38252878732075</v>
      </c>
      <c r="AP36" s="43">
        <f t="shared" si="22"/>
        <v>132.64937391595495</v>
      </c>
      <c r="AQ36" s="43">
        <f t="shared" si="23"/>
        <v>143.79742070941106</v>
      </c>
      <c r="AR36" s="43">
        <f t="shared" si="24"/>
        <v>144.54183886033812</v>
      </c>
      <c r="AV36" s="31">
        <v>43647</v>
      </c>
      <c r="AW36" s="40">
        <f t="shared" si="25"/>
        <v>-1.0949208079342743E-2</v>
      </c>
      <c r="AX36" s="40">
        <f t="shared" si="1"/>
        <v>6.3368444117375411E-2</v>
      </c>
      <c r="AY36" s="40">
        <f t="shared" si="2"/>
        <v>8.5422180984830343E-2</v>
      </c>
      <c r="AZ36" s="40">
        <f t="shared" si="3"/>
        <v>0.28157415475919634</v>
      </c>
      <c r="BA36" s="40">
        <f t="shared" si="4"/>
        <v>0.43154038139331896</v>
      </c>
      <c r="BB36" s="40">
        <f t="shared" si="5"/>
        <v>7.6641257046676126E-2</v>
      </c>
      <c r="BC36" s="40">
        <f t="shared" si="6"/>
        <v>0.15237982068740163</v>
      </c>
      <c r="BD36" s="40">
        <f t="shared" si="7"/>
        <v>0.1875837260526747</v>
      </c>
      <c r="BH36" s="31">
        <v>43647</v>
      </c>
      <c r="BI36" s="40">
        <f t="shared" si="8"/>
        <v>0.15069391916307462</v>
      </c>
      <c r="BJ36" s="40">
        <f t="shared" si="9"/>
        <v>1.3156401829182217E-3</v>
      </c>
      <c r="BK36" s="40">
        <f t="shared" si="10"/>
        <v>0.25575299873830681</v>
      </c>
      <c r="BL36" s="40">
        <f t="shared" si="11"/>
        <v>0.15352579883879749</v>
      </c>
      <c r="BM36" s="40">
        <f t="shared" si="12"/>
        <v>0.17402849035300358</v>
      </c>
      <c r="BN36" s="40">
        <f t="shared" si="13"/>
        <v>1.2034032045525209E-2</v>
      </c>
      <c r="BO36" s="40">
        <f t="shared" si="14"/>
        <v>4.2746809343983901E-2</v>
      </c>
      <c r="BP36" s="40">
        <f t="shared" si="15"/>
        <v>7.2499926457642944E-2</v>
      </c>
    </row>
    <row r="37" spans="1:68" x14ac:dyDescent="0.2">
      <c r="A37" s="32">
        <v>43346</v>
      </c>
      <c r="B37" s="40">
        <v>-3.5000000000000001E-3</v>
      </c>
      <c r="C37" s="40">
        <v>4.7000000000000002E-3</v>
      </c>
      <c r="D37" s="40">
        <v>-8.8000000000000005E-3</v>
      </c>
      <c r="E37" s="40">
        <v>3.3599999999999998E-2</v>
      </c>
      <c r="F37" s="40">
        <v>-1.7600000000000001E-2</v>
      </c>
      <c r="G37" s="40">
        <f>SUMPRODUCT($B37:$F37,Carteiras!$M$16:$Q$16)</f>
        <v>5.47E-3</v>
      </c>
      <c r="H37" s="40">
        <f>SUMPRODUCT($B37:$F37,Carteiras!$M$17:$Q$17)</f>
        <v>3.2549999999999992E-3</v>
      </c>
      <c r="I37" s="40">
        <f>SUMPRODUCT($B37:$F37,Carteiras!$M$18:$Q$18)</f>
        <v>-5.4149999999999997E-3</v>
      </c>
      <c r="M37" s="40"/>
      <c r="N37" s="40"/>
      <c r="O37" s="40"/>
      <c r="P37" s="40"/>
      <c r="Q37" s="40"/>
      <c r="R37" s="40"/>
      <c r="S37" s="40"/>
      <c r="T37" s="40"/>
      <c r="X37" s="2"/>
      <c r="Y37" s="46"/>
      <c r="Z37" s="46"/>
      <c r="AA37" s="40"/>
      <c r="AB37" s="40"/>
      <c r="AC37" s="40"/>
      <c r="AD37" s="40"/>
      <c r="AE37" s="40"/>
      <c r="AF37" s="40"/>
      <c r="AJ37" s="32">
        <v>43346</v>
      </c>
      <c r="AK37" s="43">
        <f t="shared" si="17"/>
        <v>83.95809199885062</v>
      </c>
      <c r="AL37" s="43">
        <f t="shared" si="18"/>
        <v>130.39612210890607</v>
      </c>
      <c r="AM37" s="43">
        <f t="shared" si="19"/>
        <v>149.40957855411867</v>
      </c>
      <c r="AN37" s="43">
        <f t="shared" si="20"/>
        <v>175.97264125500004</v>
      </c>
      <c r="AO37" s="43">
        <f t="shared" si="21"/>
        <v>177.6706155897682</v>
      </c>
      <c r="AP37" s="43">
        <f t="shared" si="22"/>
        <v>133.93739933667888</v>
      </c>
      <c r="AQ37" s="43">
        <f t="shared" si="23"/>
        <v>145.8314352253457</v>
      </c>
      <c r="AR37" s="43">
        <f t="shared" si="24"/>
        <v>149.1151426418792</v>
      </c>
      <c r="AV37" s="31">
        <v>43678</v>
      </c>
      <c r="AW37" s="40">
        <f t="shared" si="25"/>
        <v>-4.5142647356820609E-3</v>
      </c>
      <c r="AX37" s="40">
        <f t="shared" ref="AX37:AX65" si="33">SUMPRODUCT(PRODUCT(C37:C48+1)-1)</f>
        <v>6.2628304999464701E-2</v>
      </c>
      <c r="AY37" s="40">
        <f t="shared" ref="AY37:AY65" si="34">SUMPRODUCT(PRODUCT(D37:D48+1)-1)</f>
        <v>3.0962445854765486E-2</v>
      </c>
      <c r="AZ37" s="40">
        <f t="shared" ref="AZ37:AZ65" si="35">SUMPRODUCT(PRODUCT(E37:E48+1)-1)</f>
        <v>0.31686866732450913</v>
      </c>
      <c r="BA37" s="40">
        <f t="shared" ref="BA37:BA65" si="36">SUMPRODUCT(PRODUCT(F37:F48+1)-1)</f>
        <v>0.51055591371354714</v>
      </c>
      <c r="BB37" s="40">
        <f t="shared" ref="BB37:BB65" si="37">SUMPRODUCT(PRODUCT(G37:G48+1)-1)</f>
        <v>7.4391390201375973E-2</v>
      </c>
      <c r="BC37" s="40">
        <f t="shared" ref="BC37:BC65" si="38">SUMPRODUCT(PRODUCT(H37:H48+1)-1)</f>
        <v>0.15635121281900277</v>
      </c>
      <c r="BD37" s="40">
        <f t="shared" ref="BD37:BD65" si="39">SUMPRODUCT(PRODUCT(I37:I48+1)-1)</f>
        <v>0.18855070128617113</v>
      </c>
      <c r="BH37" s="31">
        <v>43678</v>
      </c>
      <c r="BI37" s="40">
        <f t="shared" ref="BI37:BI58" si="40">STDEV(B37:B48)*SQRT(12)</f>
        <v>0.15465281645144274</v>
      </c>
      <c r="BJ37" s="40">
        <f t="shared" ref="BJ37:BJ58" si="41">STDEV(C37:C48)*SQRT(12)</f>
        <v>1.1642399003017143E-3</v>
      </c>
      <c r="BK37" s="40">
        <f t="shared" ref="BK37:BK58" si="42">STDEV(D37:D48)*SQRT(12)</f>
        <v>0.23396084171191012</v>
      </c>
      <c r="BL37" s="40">
        <f t="shared" ref="BL37:BL58" si="43">STDEV(E37:E48)*SQRT(12)</f>
        <v>0.14573695793823513</v>
      </c>
      <c r="BM37" s="40">
        <f t="shared" ref="BM37:BM58" si="44">STDEV(F37:F48)*SQRT(12)</f>
        <v>0.15700976229058322</v>
      </c>
      <c r="BN37" s="40">
        <f t="shared" ref="BN37:BN58" si="45">STDEV(G37:G48)*SQRT(12)</f>
        <v>1.1533061960373682E-2</v>
      </c>
      <c r="BO37" s="40">
        <f t="shared" ref="BO37:BO58" si="46">STDEV(H37:H48)*SQRT(12)</f>
        <v>4.3083396585734006E-2</v>
      </c>
      <c r="BP37" s="40">
        <f t="shared" ref="BP37:BP58" si="47">STDEV(I37:I48)*SQRT(12)</f>
        <v>7.2719468882448887E-2</v>
      </c>
    </row>
    <row r="38" spans="1:68" x14ac:dyDescent="0.2">
      <c r="A38" s="32">
        <v>43374</v>
      </c>
      <c r="B38" s="40">
        <v>-8.2799999999999999E-2</v>
      </c>
      <c r="C38" s="40">
        <v>5.4000000000000003E-3</v>
      </c>
      <c r="D38" s="40">
        <v>-0.13819999999999999</v>
      </c>
      <c r="E38" s="40">
        <v>9.7500000000000003E-2</v>
      </c>
      <c r="F38" s="40">
        <v>0.1241</v>
      </c>
      <c r="G38" s="40">
        <f>SUMPRODUCT($B38:$F38,Carteiras!$M$16:$Q$16)</f>
        <v>2.825000000000002E-3</v>
      </c>
      <c r="H38" s="40">
        <f>SUMPRODUCT($B38:$F38,Carteiras!$M$17:$Q$17)</f>
        <v>1.107E-2</v>
      </c>
      <c r="I38" s="40">
        <f>SUMPRODUCT($B38:$F38,Carteiras!$M$18:$Q$18)</f>
        <v>-6.2849999999999989E-3</v>
      </c>
      <c r="M38" s="40"/>
      <c r="N38" s="40"/>
      <c r="O38" s="40"/>
      <c r="P38" s="40"/>
      <c r="Q38" s="40"/>
      <c r="R38" s="40"/>
      <c r="S38" s="40"/>
      <c r="T38" s="40"/>
      <c r="X38" s="2"/>
      <c r="Y38" s="46"/>
      <c r="Z38" s="46"/>
      <c r="AA38" s="40"/>
      <c r="AB38" s="40"/>
      <c r="AC38" s="40"/>
      <c r="AD38" s="40"/>
      <c r="AE38" s="40"/>
      <c r="AF38" s="40"/>
      <c r="AJ38" s="32">
        <v>43374</v>
      </c>
      <c r="AK38" s="43">
        <f t="shared" ref="AK38:AK69" si="48">AK37*(1+B37)</f>
        <v>83.664238676854652</v>
      </c>
      <c r="AL38" s="43">
        <f t="shared" ref="AL38:AL69" si="49">AL37*(1+C37)</f>
        <v>131.00898388281792</v>
      </c>
      <c r="AM38" s="43">
        <f t="shared" ref="AM38:AM69" si="50">AM37*(1+D37)</f>
        <v>148.09477426284241</v>
      </c>
      <c r="AN38" s="43">
        <f t="shared" ref="AN38:AN69" si="51">AN37*(1+E37)</f>
        <v>181.88532200116805</v>
      </c>
      <c r="AO38" s="43">
        <f t="shared" ref="AO38:AO69" si="52">AO37*(1+F37)</f>
        <v>174.5436127553883</v>
      </c>
      <c r="AP38" s="43">
        <f t="shared" ref="AP38:AP69" si="53">AP37*(1+G37)</f>
        <v>134.67003691105052</v>
      </c>
      <c r="AQ38" s="43">
        <f t="shared" ref="AQ38:AQ69" si="54">AQ37*(1+H37)</f>
        <v>146.30611654700419</v>
      </c>
      <c r="AR38" s="43">
        <f t="shared" ref="AR38:AR69" si="55">AR37*(1+I37)</f>
        <v>148.30768414447343</v>
      </c>
      <c r="AV38" s="31">
        <v>43710</v>
      </c>
      <c r="AW38" s="40">
        <f t="shared" ref="AW38:AW65" si="56">SUMPRODUCT(PRODUCT(B38:B49+1)-1)</f>
        <v>-1.8844957770158821E-5</v>
      </c>
      <c r="AX38" s="40">
        <f t="shared" si="33"/>
        <v>6.2522539267903188E-2</v>
      </c>
      <c r="AY38" s="40">
        <f t="shared" si="34"/>
        <v>6.6222360013841852E-2</v>
      </c>
      <c r="AZ38" s="40">
        <f t="shared" si="35"/>
        <v>0.31839753961629413</v>
      </c>
      <c r="BA38" s="40">
        <f t="shared" si="36"/>
        <v>0.55560812083061406</v>
      </c>
      <c r="BB38" s="40">
        <f t="shared" si="37"/>
        <v>7.6170520025920396E-2</v>
      </c>
      <c r="BC38" s="40">
        <f t="shared" si="38"/>
        <v>0.16768702891568288</v>
      </c>
      <c r="BD38" s="40">
        <f t="shared" si="39"/>
        <v>0.21178789909883622</v>
      </c>
      <c r="BH38" s="31">
        <v>43710</v>
      </c>
      <c r="BI38" s="40">
        <f t="shared" si="40"/>
        <v>0.15458997968232552</v>
      </c>
      <c r="BJ38" s="40">
        <f t="shared" si="41"/>
        <v>1.2030264865216926E-3</v>
      </c>
      <c r="BK38" s="40">
        <f t="shared" si="42"/>
        <v>0.23427873841372648</v>
      </c>
      <c r="BL38" s="40">
        <f t="shared" si="43"/>
        <v>0.1458283268404699</v>
      </c>
      <c r="BM38" s="40">
        <f t="shared" si="44"/>
        <v>0.14863572004308814</v>
      </c>
      <c r="BN38" s="40">
        <f t="shared" si="45"/>
        <v>1.1569326510609467E-2</v>
      </c>
      <c r="BO38" s="40">
        <f t="shared" si="46"/>
        <v>4.1951148754452279E-2</v>
      </c>
      <c r="BP38" s="40">
        <f t="shared" si="47"/>
        <v>6.9374898312783789E-2</v>
      </c>
    </row>
    <row r="39" spans="1:68" x14ac:dyDescent="0.2">
      <c r="A39" s="32">
        <v>43405</v>
      </c>
      <c r="B39" s="40">
        <v>3.39E-2</v>
      </c>
      <c r="C39" s="40">
        <v>4.8999999999999998E-3</v>
      </c>
      <c r="D39" s="40">
        <v>5.5599999999999997E-2</v>
      </c>
      <c r="E39" s="40">
        <v>2.7199999999999998E-2</v>
      </c>
      <c r="F39" s="40">
        <v>5.5100000000000003E-2</v>
      </c>
      <c r="G39" s="40">
        <f>SUMPRODUCT($B39:$F39,Carteiras!$M$16:$Q$16)</f>
        <v>8.5500000000000003E-3</v>
      </c>
      <c r="H39" s="40">
        <f>SUMPRODUCT($B39:$F39,Carteiras!$M$17:$Q$17)</f>
        <v>2.4829999999999998E-2</v>
      </c>
      <c r="I39" s="40">
        <f>SUMPRODUCT($B39:$F39,Carteiras!$M$18:$Q$18)</f>
        <v>3.9184999999999998E-2</v>
      </c>
      <c r="M39" s="40"/>
      <c r="N39" s="40"/>
      <c r="O39" s="40"/>
      <c r="P39" s="40"/>
      <c r="Q39" s="40"/>
      <c r="R39" s="40"/>
      <c r="S39" s="40"/>
      <c r="T39" s="40"/>
      <c r="Y39" s="40"/>
      <c r="Z39" s="40"/>
      <c r="AA39" s="40"/>
      <c r="AB39" s="40"/>
      <c r="AC39" s="40"/>
      <c r="AD39" s="40"/>
      <c r="AE39" s="40"/>
      <c r="AF39" s="40"/>
      <c r="AJ39" s="32">
        <v>43405</v>
      </c>
      <c r="AK39" s="43">
        <f t="shared" si="48"/>
        <v>76.73683971441109</v>
      </c>
      <c r="AL39" s="43">
        <f t="shared" si="49"/>
        <v>131.71643239578515</v>
      </c>
      <c r="AM39" s="43">
        <f t="shared" si="50"/>
        <v>127.62807645971759</v>
      </c>
      <c r="AN39" s="43">
        <f t="shared" si="51"/>
        <v>199.61914089628192</v>
      </c>
      <c r="AO39" s="43">
        <f t="shared" si="52"/>
        <v>196.20447509833201</v>
      </c>
      <c r="AP39" s="43">
        <f t="shared" si="53"/>
        <v>135.05047976532424</v>
      </c>
      <c r="AQ39" s="43">
        <f t="shared" si="54"/>
        <v>147.92572525717952</v>
      </c>
      <c r="AR39" s="43">
        <f t="shared" si="55"/>
        <v>147.37557034962541</v>
      </c>
      <c r="AV39" s="31">
        <v>43739</v>
      </c>
      <c r="AW39" s="40">
        <f t="shared" si="56"/>
        <v>5.1877255107657172E-2</v>
      </c>
      <c r="AX39" s="40">
        <f t="shared" si="33"/>
        <v>6.1888449827322001E-2</v>
      </c>
      <c r="AY39" s="40">
        <f t="shared" si="34"/>
        <v>0.21555287620515151</v>
      </c>
      <c r="AZ39" s="40">
        <f t="shared" si="35"/>
        <v>0.22770139907776987</v>
      </c>
      <c r="BA39" s="40">
        <f t="shared" si="36"/>
        <v>0.41791306876883527</v>
      </c>
      <c r="BB39" s="40">
        <f t="shared" si="37"/>
        <v>7.8016318938437079E-2</v>
      </c>
      <c r="BC39" s="40">
        <f t="shared" si="38"/>
        <v>0.16068254670339965</v>
      </c>
      <c r="BD39" s="40">
        <f t="shared" si="39"/>
        <v>0.22056185736052769</v>
      </c>
      <c r="BH39" s="31">
        <v>43739</v>
      </c>
      <c r="BI39" s="40">
        <f t="shared" si="40"/>
        <v>0.13217210543282365</v>
      </c>
      <c r="BJ39" s="40">
        <f t="shared" si="41"/>
        <v>1.1708582710597776E-3</v>
      </c>
      <c r="BK39" s="40">
        <f t="shared" si="42"/>
        <v>0.17627369988948233</v>
      </c>
      <c r="BL39" s="40">
        <f t="shared" si="43"/>
        <v>0.12194691840752234</v>
      </c>
      <c r="BM39" s="40">
        <f t="shared" si="44"/>
        <v>0.11562108961446593</v>
      </c>
      <c r="BN39" s="40">
        <f t="shared" si="45"/>
        <v>1.1151804073373463E-2</v>
      </c>
      <c r="BO39" s="40">
        <f t="shared" si="46"/>
        <v>4.2698214647581098E-2</v>
      </c>
      <c r="BP39" s="40">
        <f t="shared" si="47"/>
        <v>6.7154997444852774E-2</v>
      </c>
    </row>
    <row r="40" spans="1:68" x14ac:dyDescent="0.2">
      <c r="A40" s="32">
        <v>43437</v>
      </c>
      <c r="B40" s="40">
        <v>3.0999999999999999E-3</v>
      </c>
      <c r="C40" s="40">
        <v>4.8999999999999998E-3</v>
      </c>
      <c r="D40" s="40">
        <v>-9.0300000000000005E-2</v>
      </c>
      <c r="E40" s="40">
        <v>-2.0500000000000001E-2</v>
      </c>
      <c r="F40" s="40">
        <v>1.23E-2</v>
      </c>
      <c r="G40" s="40">
        <f>SUMPRODUCT($B40:$F40,Carteiras!$M$16:$Q$16)</f>
        <v>-1.130000000000001E-3</v>
      </c>
      <c r="H40" s="40">
        <f>SUMPRODUCT($B40:$F40,Carteiras!$M$17:$Q$17)</f>
        <v>-1.217E-2</v>
      </c>
      <c r="I40" s="40">
        <f>SUMPRODUCT($B40:$F40,Carteiras!$M$18:$Q$18)</f>
        <v>-2.2890000000000004E-2</v>
      </c>
      <c r="M40" s="40"/>
      <c r="N40" s="40"/>
      <c r="O40" s="40"/>
      <c r="P40" s="40"/>
      <c r="Q40" s="40"/>
      <c r="R40" s="40"/>
      <c r="S40" s="40"/>
      <c r="T40" s="40"/>
      <c r="Y40" s="40"/>
      <c r="Z40" s="40"/>
      <c r="AA40" s="40"/>
      <c r="AB40" s="40"/>
      <c r="AC40" s="40"/>
      <c r="AD40" s="40"/>
      <c r="AE40" s="40"/>
      <c r="AF40" s="40"/>
      <c r="AJ40" s="32">
        <v>43437</v>
      </c>
      <c r="AK40" s="43">
        <f t="shared" si="48"/>
        <v>79.338218580729631</v>
      </c>
      <c r="AL40" s="43">
        <f t="shared" si="49"/>
        <v>132.36184291452449</v>
      </c>
      <c r="AM40" s="43">
        <f t="shared" si="50"/>
        <v>134.7241975108779</v>
      </c>
      <c r="AN40" s="43">
        <f t="shared" si="51"/>
        <v>205.04878152866075</v>
      </c>
      <c r="AO40" s="43">
        <f t="shared" si="52"/>
        <v>207.0153416762501</v>
      </c>
      <c r="AP40" s="43">
        <f t="shared" si="53"/>
        <v>136.20516136731777</v>
      </c>
      <c r="AQ40" s="43">
        <f t="shared" si="54"/>
        <v>151.59872101531528</v>
      </c>
      <c r="AR40" s="43">
        <f t="shared" si="55"/>
        <v>153.15048207377549</v>
      </c>
      <c r="AV40" s="31">
        <v>43770</v>
      </c>
      <c r="AW40" s="40">
        <f t="shared" si="56"/>
        <v>7.0800668343949491E-2</v>
      </c>
      <c r="AX40" s="40">
        <f t="shared" si="33"/>
        <v>6.0726068202473726E-2</v>
      </c>
      <c r="AY40" s="40">
        <f t="shared" si="34"/>
        <v>0.27197774446401102</v>
      </c>
      <c r="AZ40" s="40">
        <f t="shared" si="35"/>
        <v>0.20810024745698019</v>
      </c>
      <c r="BA40" s="40">
        <f t="shared" si="36"/>
        <v>0.40931232605239032</v>
      </c>
      <c r="BB40" s="40">
        <f t="shared" si="37"/>
        <v>7.8700400485331556E-2</v>
      </c>
      <c r="BC40" s="40">
        <f t="shared" si="38"/>
        <v>0.16556388485342621</v>
      </c>
      <c r="BD40" s="40">
        <f t="shared" si="39"/>
        <v>0.23647096917213739</v>
      </c>
      <c r="BH40" s="31">
        <v>43770</v>
      </c>
      <c r="BI40" s="40">
        <f t="shared" si="40"/>
        <v>0.13781500116262579</v>
      </c>
      <c r="BJ40" s="40">
        <f t="shared" si="41"/>
        <v>1.6914222095352454E-3</v>
      </c>
      <c r="BK40" s="40">
        <f t="shared" si="42"/>
        <v>0.19373970119255843</v>
      </c>
      <c r="BL40" s="40">
        <f t="shared" si="43"/>
        <v>0.12166784889421466</v>
      </c>
      <c r="BM40" s="40">
        <f t="shared" si="44"/>
        <v>0.11427572716102845</v>
      </c>
      <c r="BN40" s="40">
        <f t="shared" si="45"/>
        <v>1.1310865552443568E-2</v>
      </c>
      <c r="BO40" s="40">
        <f t="shared" si="46"/>
        <v>4.4238682040001635E-2</v>
      </c>
      <c r="BP40" s="40">
        <f t="shared" si="47"/>
        <v>7.3152421742674931E-2</v>
      </c>
    </row>
    <row r="41" spans="1:68" x14ac:dyDescent="0.2">
      <c r="A41" s="32">
        <v>43467</v>
      </c>
      <c r="B41" s="40">
        <v>-6.1100000000000002E-2</v>
      </c>
      <c r="C41" s="40">
        <v>5.4000000000000003E-3</v>
      </c>
      <c r="D41" s="40">
        <v>1.77E-2</v>
      </c>
      <c r="E41" s="40">
        <v>0.1111</v>
      </c>
      <c r="F41" s="40">
        <v>9.4799999999999995E-2</v>
      </c>
      <c r="G41" s="40">
        <f>SUMPRODUCT($B41:$F41,Carteiras!$M$16:$Q$16)</f>
        <v>1.1300000000000001E-2</v>
      </c>
      <c r="H41" s="40">
        <f>SUMPRODUCT($B41:$F41,Carteiras!$M$17:$Q$17)</f>
        <v>3.3184999999999999E-2</v>
      </c>
      <c r="I41" s="40">
        <f>SUMPRODUCT($B41:$F41,Carteiras!$M$18:$Q$18)</f>
        <v>3.4544999999999999E-2</v>
      </c>
      <c r="M41" s="40"/>
      <c r="N41" s="40"/>
      <c r="O41" s="40"/>
      <c r="P41" s="40"/>
      <c r="Q41" s="40"/>
      <c r="R41" s="40"/>
      <c r="S41" s="40"/>
      <c r="T41" s="40"/>
      <c r="Y41" s="40"/>
      <c r="Z41" s="40"/>
      <c r="AA41" s="40"/>
      <c r="AB41" s="40"/>
      <c r="AC41" s="40"/>
      <c r="AD41" s="40"/>
      <c r="AE41" s="40"/>
      <c r="AF41" s="40"/>
      <c r="AJ41" s="32">
        <v>43467</v>
      </c>
      <c r="AK41" s="43">
        <f t="shared" si="48"/>
        <v>79.584167058329896</v>
      </c>
      <c r="AL41" s="43">
        <f t="shared" si="49"/>
        <v>133.01041594480566</v>
      </c>
      <c r="AM41" s="43">
        <f t="shared" si="50"/>
        <v>122.55860247564561</v>
      </c>
      <c r="AN41" s="43">
        <f t="shared" si="51"/>
        <v>200.84528150732322</v>
      </c>
      <c r="AO41" s="43">
        <f t="shared" si="52"/>
        <v>209.56163037886796</v>
      </c>
      <c r="AP41" s="43">
        <f t="shared" si="53"/>
        <v>136.0512495349727</v>
      </c>
      <c r="AQ41" s="43">
        <f t="shared" si="54"/>
        <v>149.75376458055888</v>
      </c>
      <c r="AR41" s="43">
        <f t="shared" si="55"/>
        <v>149.64486753910677</v>
      </c>
      <c r="AV41" s="31">
        <v>43801</v>
      </c>
      <c r="AW41" s="40">
        <f t="shared" si="56"/>
        <v>1.0700899998057345E-2</v>
      </c>
      <c r="AX41" s="40">
        <f t="shared" si="33"/>
        <v>5.9459403577294401E-2</v>
      </c>
      <c r="AY41" s="40">
        <f t="shared" si="34"/>
        <v>0.35055875934680514</v>
      </c>
      <c r="AZ41" s="40">
        <f t="shared" si="35"/>
        <v>0.3146646796982091</v>
      </c>
      <c r="BA41" s="40">
        <f t="shared" si="36"/>
        <v>0.56718649159061152</v>
      </c>
      <c r="BB41" s="40">
        <f t="shared" si="37"/>
        <v>8.5233920786208506E-2</v>
      </c>
      <c r="BC41" s="40">
        <f t="shared" si="38"/>
        <v>0.20684351040802262</v>
      </c>
      <c r="BD41" s="40">
        <f t="shared" si="39"/>
        <v>0.29881904119177838</v>
      </c>
      <c r="BH41" s="31">
        <v>43801</v>
      </c>
      <c r="BI41" s="40">
        <f t="shared" si="40"/>
        <v>0.15024020464212998</v>
      </c>
      <c r="BJ41" s="40">
        <f t="shared" si="41"/>
        <v>2.0895845607114437E-3</v>
      </c>
      <c r="BK41" s="40">
        <f t="shared" si="42"/>
        <v>0.16419895636917814</v>
      </c>
      <c r="BL41" s="40">
        <f t="shared" si="43"/>
        <v>0.12372913230851569</v>
      </c>
      <c r="BM41" s="40">
        <f t="shared" si="44"/>
        <v>0.1471972578795975</v>
      </c>
      <c r="BN41" s="40">
        <f t="shared" si="45"/>
        <v>8.1216796012558001E-3</v>
      </c>
      <c r="BO41" s="40">
        <f t="shared" si="46"/>
        <v>3.5575919843726773E-2</v>
      </c>
      <c r="BP41" s="40">
        <f t="shared" si="47"/>
        <v>5.812106414826966E-2</v>
      </c>
    </row>
    <row r="42" spans="1:68" x14ac:dyDescent="0.2">
      <c r="A42" s="32">
        <v>43497</v>
      </c>
      <c r="B42" s="40">
        <v>2.7199999999999998E-2</v>
      </c>
      <c r="C42" s="40">
        <v>4.8999999999999998E-3</v>
      </c>
      <c r="D42" s="40">
        <v>6.4399999999999999E-2</v>
      </c>
      <c r="E42" s="40">
        <v>-2.29E-2</v>
      </c>
      <c r="F42" s="40">
        <v>-2.0299999999999999E-2</v>
      </c>
      <c r="G42" s="40">
        <f>SUMPRODUCT($B42:$F42,Carteiras!$M$16:$Q$16)</f>
        <v>6.4849999999999994E-3</v>
      </c>
      <c r="H42" s="40">
        <f>SUMPRODUCT($B42:$F42,Carteiras!$M$17:$Q$17)</f>
        <v>6.9899999999999997E-3</v>
      </c>
      <c r="I42" s="40">
        <f>SUMPRODUCT($B42:$F42,Carteiras!$M$18:$Q$18)</f>
        <v>1.6030000000000003E-2</v>
      </c>
      <c r="M42" s="40"/>
      <c r="N42" s="40"/>
      <c r="O42" s="40"/>
      <c r="P42" s="40"/>
      <c r="Q42" s="40"/>
      <c r="R42" s="40"/>
      <c r="S42" s="40"/>
      <c r="T42" s="40"/>
      <c r="Y42" s="40"/>
      <c r="Z42" s="40"/>
      <c r="AA42" s="40"/>
      <c r="AB42" s="40"/>
      <c r="AC42" s="40"/>
      <c r="AD42" s="40"/>
      <c r="AE42" s="40"/>
      <c r="AF42" s="40"/>
      <c r="AJ42" s="32">
        <v>43497</v>
      </c>
      <c r="AK42" s="43">
        <f t="shared" si="48"/>
        <v>74.721574451065933</v>
      </c>
      <c r="AL42" s="43">
        <f t="shared" si="49"/>
        <v>133.72867219090762</v>
      </c>
      <c r="AM42" s="43">
        <f t="shared" si="50"/>
        <v>124.72788973946454</v>
      </c>
      <c r="AN42" s="43">
        <f t="shared" si="51"/>
        <v>223.15919228278682</v>
      </c>
      <c r="AO42" s="43">
        <f t="shared" si="52"/>
        <v>229.42807293878465</v>
      </c>
      <c r="AP42" s="43">
        <f t="shared" si="53"/>
        <v>137.58862865471789</v>
      </c>
      <c r="AQ42" s="43">
        <f t="shared" si="54"/>
        <v>154.72334325816473</v>
      </c>
      <c r="AR42" s="43">
        <f t="shared" si="55"/>
        <v>154.81434948824523</v>
      </c>
      <c r="AV42" s="31">
        <v>43832</v>
      </c>
      <c r="AW42" s="40">
        <f t="shared" si="56"/>
        <v>0.14590596234735553</v>
      </c>
      <c r="AX42" s="40">
        <f t="shared" si="33"/>
        <v>5.7773373096168257E-2</v>
      </c>
      <c r="AY42" s="40">
        <f t="shared" si="34"/>
        <v>0.41691224069429489</v>
      </c>
      <c r="AZ42" s="40">
        <f t="shared" si="35"/>
        <v>0.15848095391280359</v>
      </c>
      <c r="BA42" s="40">
        <f t="shared" si="36"/>
        <v>0.4363490369583658</v>
      </c>
      <c r="BB42" s="40">
        <f t="shared" si="37"/>
        <v>7.9288903559711521E-2</v>
      </c>
      <c r="BC42" s="40">
        <f t="shared" si="38"/>
        <v>0.18286281259622994</v>
      </c>
      <c r="BD42" s="40">
        <f t="shared" si="39"/>
        <v>0.29020665736838169</v>
      </c>
      <c r="BH42" s="31">
        <v>43832</v>
      </c>
      <c r="BI42" s="40">
        <f t="shared" si="40"/>
        <v>0.1453498444193432</v>
      </c>
      <c r="BJ42" s="40">
        <f t="shared" si="41"/>
        <v>2.2179023668978106E-3</v>
      </c>
      <c r="BK42" s="40">
        <f t="shared" si="42"/>
        <v>0.16886365398262479</v>
      </c>
      <c r="BL42" s="40">
        <f t="shared" si="43"/>
        <v>8.6819918116859462E-2</v>
      </c>
      <c r="BM42" s="40">
        <f t="shared" si="44"/>
        <v>0.13740510775209061</v>
      </c>
      <c r="BN42" s="40">
        <f t="shared" si="45"/>
        <v>6.5398184225557822E-3</v>
      </c>
      <c r="BO42" s="40">
        <f t="shared" si="46"/>
        <v>3.0168236004718001E-2</v>
      </c>
      <c r="BP42" s="40">
        <f t="shared" si="47"/>
        <v>5.6917962714291295E-2</v>
      </c>
    </row>
    <row r="43" spans="1:68" x14ac:dyDescent="0.2">
      <c r="A43" s="32">
        <v>43525</v>
      </c>
      <c r="B43" s="40">
        <v>4.3799999999999999E-2</v>
      </c>
      <c r="C43" s="40">
        <v>4.7000000000000002E-3</v>
      </c>
      <c r="D43" s="40">
        <v>6.2E-2</v>
      </c>
      <c r="E43" s="40">
        <v>-4.0000000000000002E-4</v>
      </c>
      <c r="F43" s="40">
        <v>3.3999999999999998E-3</v>
      </c>
      <c r="G43" s="40">
        <f>SUMPRODUCT($B43:$F43,Carteiras!$M$16:$Q$16)</f>
        <v>7.3100000000000005E-3</v>
      </c>
      <c r="H43" s="40">
        <f>SUMPRODUCT($B43:$F43,Carteiras!$M$17:$Q$17)</f>
        <v>1.4290000000000001E-2</v>
      </c>
      <c r="I43" s="40">
        <f>SUMPRODUCT($B43:$F43,Carteiras!$M$18:$Q$18)</f>
        <v>2.5155E-2</v>
      </c>
      <c r="M43" s="40"/>
      <c r="N43" s="40"/>
      <c r="O43" s="40"/>
      <c r="P43" s="40"/>
      <c r="Q43" s="40"/>
      <c r="R43" s="40"/>
      <c r="S43" s="40"/>
      <c r="T43" s="40"/>
      <c r="Y43" s="40"/>
      <c r="Z43" s="40"/>
      <c r="AA43" s="40"/>
      <c r="AB43" s="40"/>
      <c r="AC43" s="40"/>
      <c r="AD43" s="40"/>
      <c r="AE43" s="40"/>
      <c r="AF43" s="40"/>
      <c r="AJ43" s="32">
        <v>43525</v>
      </c>
      <c r="AK43" s="43">
        <f t="shared" si="48"/>
        <v>76.754001276134915</v>
      </c>
      <c r="AL43" s="43">
        <f t="shared" si="49"/>
        <v>134.38394268464305</v>
      </c>
      <c r="AM43" s="43">
        <f t="shared" si="50"/>
        <v>132.76036583868606</v>
      </c>
      <c r="AN43" s="43">
        <f t="shared" si="51"/>
        <v>218.048846779511</v>
      </c>
      <c r="AO43" s="43">
        <f t="shared" si="52"/>
        <v>224.77068305812733</v>
      </c>
      <c r="AP43" s="43">
        <f t="shared" si="53"/>
        <v>138.48089091154375</v>
      </c>
      <c r="AQ43" s="43">
        <f t="shared" si="54"/>
        <v>155.8048594275393</v>
      </c>
      <c r="AR43" s="43">
        <f t="shared" si="55"/>
        <v>157.2960235105418</v>
      </c>
      <c r="AV43" s="31">
        <v>43864</v>
      </c>
      <c r="AW43" s="40">
        <f t="shared" si="56"/>
        <v>0.1674363216476904</v>
      </c>
      <c r="AX43" s="40">
        <f t="shared" si="33"/>
        <v>5.5668141982433195E-2</v>
      </c>
      <c r="AY43" s="40">
        <f t="shared" si="34"/>
        <v>0.27234565920293741</v>
      </c>
      <c r="AZ43" s="40">
        <f t="shared" si="35"/>
        <v>9.5286772310559931E-2</v>
      </c>
      <c r="BA43" s="40">
        <f t="shared" si="36"/>
        <v>0.34823576032143899</v>
      </c>
      <c r="BB43" s="40">
        <f t="shared" si="37"/>
        <v>6.8678150591983567E-2</v>
      </c>
      <c r="BC43" s="40">
        <f t="shared" si="38"/>
        <v>0.14370578833790049</v>
      </c>
      <c r="BD43" s="40">
        <f t="shared" si="39"/>
        <v>0.22437123503708833</v>
      </c>
      <c r="BH43" s="31">
        <v>43864</v>
      </c>
      <c r="BI43" s="40">
        <f t="shared" si="40"/>
        <v>0.14876273971419296</v>
      </c>
      <c r="BJ43" s="40">
        <f t="shared" si="41"/>
        <v>2.8301943396169811E-3</v>
      </c>
      <c r="BK43" s="40">
        <f t="shared" si="42"/>
        <v>0.17968393209896497</v>
      </c>
      <c r="BL43" s="40">
        <f t="shared" si="43"/>
        <v>0.12045270290185951</v>
      </c>
      <c r="BM43" s="40">
        <f t="shared" si="44"/>
        <v>0.17105708510212711</v>
      </c>
      <c r="BN43" s="40">
        <f t="shared" si="45"/>
        <v>1.1765304539581233E-2</v>
      </c>
      <c r="BO43" s="40">
        <f t="shared" si="46"/>
        <v>5.0402991501226659E-2</v>
      </c>
      <c r="BP43" s="40">
        <f t="shared" si="47"/>
        <v>8.096659793901545E-2</v>
      </c>
    </row>
    <row r="44" spans="1:68" x14ac:dyDescent="0.2">
      <c r="A44" s="32">
        <v>43556</v>
      </c>
      <c r="B44" s="40">
        <v>-1.8E-3</v>
      </c>
      <c r="C44" s="40">
        <v>5.1999999999999998E-3</v>
      </c>
      <c r="D44" s="40">
        <v>3.9800000000000002E-2</v>
      </c>
      <c r="E44" s="40">
        <v>1.17E-2</v>
      </c>
      <c r="F44" s="40">
        <v>1.4500000000000001E-2</v>
      </c>
      <c r="G44" s="40">
        <f>SUMPRODUCT($B44:$F44,Carteiras!$M$16:$Q$16)</f>
        <v>7.255000000000001E-3</v>
      </c>
      <c r="H44" s="40">
        <f>SUMPRODUCT($B44:$F44,Carteiras!$M$17:$Q$17)</f>
        <v>1.2410000000000001E-2</v>
      </c>
      <c r="I44" s="40">
        <f>SUMPRODUCT($B44:$F44,Carteiras!$M$18:$Q$18)</f>
        <v>1.7995000000000001E-2</v>
      </c>
      <c r="M44" s="40"/>
      <c r="N44" s="40"/>
      <c r="O44" s="40"/>
      <c r="P44" s="40"/>
      <c r="Q44" s="40"/>
      <c r="R44" s="40"/>
      <c r="S44" s="40"/>
      <c r="T44" s="40"/>
      <c r="Y44" s="40"/>
      <c r="Z44" s="40"/>
      <c r="AA44" s="40"/>
      <c r="AB44" s="40"/>
      <c r="AC44" s="40"/>
      <c r="AD44" s="40"/>
      <c r="AE44" s="40"/>
      <c r="AF44" s="40"/>
      <c r="AJ44" s="32">
        <v>43556</v>
      </c>
      <c r="AK44" s="43">
        <f t="shared" si="48"/>
        <v>80.115826532029629</v>
      </c>
      <c r="AL44" s="43">
        <f t="shared" si="49"/>
        <v>135.01554721526085</v>
      </c>
      <c r="AM44" s="43">
        <f t="shared" si="50"/>
        <v>140.99150852068459</v>
      </c>
      <c r="AN44" s="43">
        <f t="shared" si="51"/>
        <v>217.9616272407992</v>
      </c>
      <c r="AO44" s="43">
        <f t="shared" si="52"/>
        <v>225.53490338052498</v>
      </c>
      <c r="AP44" s="43">
        <f t="shared" si="53"/>
        <v>139.49318622410712</v>
      </c>
      <c r="AQ44" s="43">
        <f t="shared" si="54"/>
        <v>158.03131086875882</v>
      </c>
      <c r="AR44" s="43">
        <f t="shared" si="55"/>
        <v>161.25280498194948</v>
      </c>
      <c r="AV44" s="31">
        <v>43892</v>
      </c>
      <c r="AW44" s="40">
        <f t="shared" si="56"/>
        <v>0.29493942633042303</v>
      </c>
      <c r="AX44" s="40">
        <f t="shared" si="33"/>
        <v>5.4302193356398964E-2</v>
      </c>
      <c r="AY44" s="40">
        <f t="shared" si="34"/>
        <v>0.22394380926715751</v>
      </c>
      <c r="AZ44" s="40">
        <f t="shared" si="35"/>
        <v>-0.24460714202591027</v>
      </c>
      <c r="BA44" s="40">
        <f t="shared" si="36"/>
        <v>-0.15993920933529671</v>
      </c>
      <c r="BB44" s="40">
        <f t="shared" si="37"/>
        <v>4.8838894140573519E-2</v>
      </c>
      <c r="BC44" s="40">
        <f t="shared" si="38"/>
        <v>2.6131719235382711E-2</v>
      </c>
      <c r="BD44" s="40">
        <f t="shared" si="39"/>
        <v>6.9090690999018989E-2</v>
      </c>
      <c r="BH44" s="31">
        <v>43892</v>
      </c>
      <c r="BI44" s="40">
        <f t="shared" si="40"/>
        <v>0.2063589723141338</v>
      </c>
      <c r="BJ44" s="40">
        <f t="shared" si="41"/>
        <v>3.0337495551934347E-3</v>
      </c>
      <c r="BK44" s="40">
        <f t="shared" si="42"/>
        <v>0.17420634316809477</v>
      </c>
      <c r="BL44" s="40">
        <f t="shared" si="43"/>
        <v>0.3413743599574573</v>
      </c>
      <c r="BM44" s="40">
        <f t="shared" si="44"/>
        <v>0.43726295292421008</v>
      </c>
      <c r="BN44" s="40">
        <f t="shared" si="45"/>
        <v>2.040937017423838E-2</v>
      </c>
      <c r="BO44" s="40">
        <f t="shared" si="46"/>
        <v>0.11288824122475369</v>
      </c>
      <c r="BP44" s="40">
        <f t="shared" si="47"/>
        <v>0.14567221943771261</v>
      </c>
    </row>
    <row r="45" spans="1:68" x14ac:dyDescent="0.2">
      <c r="A45" s="32">
        <v>43587</v>
      </c>
      <c r="B45" s="40">
        <v>-1E-3</v>
      </c>
      <c r="C45" s="40">
        <v>5.4000000000000003E-3</v>
      </c>
      <c r="D45" s="40">
        <v>-6.3500000000000001E-2</v>
      </c>
      <c r="E45" s="40">
        <v>7.6E-3</v>
      </c>
      <c r="F45" s="40">
        <v>1.84E-2</v>
      </c>
      <c r="G45" s="40">
        <f>SUMPRODUCT($B45:$F45,Carteiras!$M$16:$Q$16)</f>
        <v>2.0650000000000004E-3</v>
      </c>
      <c r="H45" s="40">
        <f>SUMPRODUCT($B45:$F45,Carteiras!$M$17:$Q$17)</f>
        <v>-2.9750000000000006E-3</v>
      </c>
      <c r="I45" s="40">
        <f>SUMPRODUCT($B45:$F45,Carteiras!$M$18:$Q$18)</f>
        <v>-1.1900000000000001E-2</v>
      </c>
      <c r="M45" s="40"/>
      <c r="N45" s="40"/>
      <c r="O45" s="40"/>
      <c r="P45" s="40"/>
      <c r="Q45" s="40"/>
      <c r="R45" s="40"/>
      <c r="S45" s="40"/>
      <c r="T45" s="40"/>
      <c r="Y45" s="40"/>
      <c r="Z45" s="40"/>
      <c r="AA45" s="40"/>
      <c r="AB45" s="40"/>
      <c r="AC45" s="40"/>
      <c r="AD45" s="40"/>
      <c r="AE45" s="40"/>
      <c r="AF45" s="40"/>
      <c r="AJ45" s="32">
        <v>43587</v>
      </c>
      <c r="AK45" s="43">
        <f t="shared" si="48"/>
        <v>79.971618044271978</v>
      </c>
      <c r="AL45" s="43">
        <f t="shared" si="49"/>
        <v>135.71762806078021</v>
      </c>
      <c r="AM45" s="43">
        <f t="shared" si="50"/>
        <v>146.60297055980786</v>
      </c>
      <c r="AN45" s="43">
        <f t="shared" si="51"/>
        <v>220.51177827951656</v>
      </c>
      <c r="AO45" s="43">
        <f t="shared" si="52"/>
        <v>228.8051594795426</v>
      </c>
      <c r="AP45" s="43">
        <f t="shared" si="53"/>
        <v>140.50520929016301</v>
      </c>
      <c r="AQ45" s="43">
        <f t="shared" si="54"/>
        <v>159.99247943664014</v>
      </c>
      <c r="AR45" s="43">
        <f t="shared" si="55"/>
        <v>164.15454920759967</v>
      </c>
      <c r="AV45" s="31">
        <v>43922</v>
      </c>
      <c r="AW45" s="40">
        <f t="shared" si="56"/>
        <v>0.36577061514793541</v>
      </c>
      <c r="AX45" s="40">
        <f t="shared" si="33"/>
        <v>5.1784957717664337E-2</v>
      </c>
      <c r="AY45" s="40">
        <f t="shared" si="34"/>
        <v>0.38779549060009444</v>
      </c>
      <c r="AZ45" s="40">
        <f t="shared" si="35"/>
        <v>-0.16874679373079582</v>
      </c>
      <c r="BA45" s="40">
        <f t="shared" si="36"/>
        <v>-4.8731556120639286E-2</v>
      </c>
      <c r="BB45" s="40">
        <f t="shared" si="37"/>
        <v>5.9126783775381941E-2</v>
      </c>
      <c r="BC45" s="40">
        <f t="shared" si="38"/>
        <v>8.4710044926761485E-2</v>
      </c>
      <c r="BD45" s="40">
        <f t="shared" si="39"/>
        <v>0.1656978969921723</v>
      </c>
      <c r="BH45" s="31">
        <v>43922</v>
      </c>
      <c r="BI45" s="40">
        <f t="shared" si="40"/>
        <v>0.20633251186990734</v>
      </c>
      <c r="BJ45" s="40">
        <f t="shared" si="41"/>
        <v>3.2957272614429402E-3</v>
      </c>
      <c r="BK45" s="40">
        <f t="shared" si="42"/>
        <v>0.23729177091811368</v>
      </c>
      <c r="BL45" s="40">
        <f t="shared" si="43"/>
        <v>0.36519946604561182</v>
      </c>
      <c r="BM45" s="40">
        <f t="shared" si="44"/>
        <v>0.46369200985136672</v>
      </c>
      <c r="BN45" s="40">
        <f t="shared" si="45"/>
        <v>2.4173883541014782E-2</v>
      </c>
      <c r="BO45" s="40">
        <f t="shared" si="46"/>
        <v>0.13158047637714482</v>
      </c>
      <c r="BP45" s="40">
        <f t="shared" si="47"/>
        <v>0.17889745551191155</v>
      </c>
    </row>
    <row r="46" spans="1:68" x14ac:dyDescent="0.2">
      <c r="A46" s="32">
        <v>43619</v>
      </c>
      <c r="B46" s="40">
        <v>-2.1999999999999999E-2</v>
      </c>
      <c r="C46" s="40">
        <v>4.7000000000000002E-3</v>
      </c>
      <c r="D46" s="40">
        <v>4.0399999999999998E-2</v>
      </c>
      <c r="E46" s="40">
        <v>3.7600000000000001E-2</v>
      </c>
      <c r="F46" s="40">
        <v>7.0199999999999999E-2</v>
      </c>
      <c r="G46" s="40">
        <f>SUMPRODUCT($B46:$F46,Carteiras!$M$16:$Q$16)</f>
        <v>8.1300000000000001E-3</v>
      </c>
      <c r="H46" s="40">
        <f>SUMPRODUCT($B46:$F46,Carteiras!$M$17:$Q$17)</f>
        <v>2.3480000000000001E-2</v>
      </c>
      <c r="I46" s="40">
        <f>SUMPRODUCT($B46:$F46,Carteiras!$M$18:$Q$18)</f>
        <v>3.4034999999999996E-2</v>
      </c>
      <c r="M46" s="40"/>
      <c r="N46" s="40"/>
      <c r="O46" s="40"/>
      <c r="P46" s="40"/>
      <c r="Q46" s="40"/>
      <c r="R46" s="40"/>
      <c r="S46" s="40"/>
      <c r="T46" s="40"/>
      <c r="Y46" s="40"/>
      <c r="Z46" s="40"/>
      <c r="AA46" s="40"/>
      <c r="AB46" s="40"/>
      <c r="AC46" s="40"/>
      <c r="AD46" s="40"/>
      <c r="AE46" s="40"/>
      <c r="AF46" s="40"/>
      <c r="AJ46" s="32">
        <v>43619</v>
      </c>
      <c r="AK46" s="43">
        <f t="shared" si="48"/>
        <v>79.891646426227709</v>
      </c>
      <c r="AL46" s="43">
        <f t="shared" si="49"/>
        <v>136.45050325230844</v>
      </c>
      <c r="AM46" s="43">
        <f t="shared" si="50"/>
        <v>137.29368192926006</v>
      </c>
      <c r="AN46" s="43">
        <f t="shared" si="51"/>
        <v>222.1876677944409</v>
      </c>
      <c r="AO46" s="43">
        <f t="shared" si="52"/>
        <v>233.01517441396618</v>
      </c>
      <c r="AP46" s="43">
        <f t="shared" si="53"/>
        <v>140.79535254734719</v>
      </c>
      <c r="AQ46" s="43">
        <f t="shared" si="54"/>
        <v>159.51650181031613</v>
      </c>
      <c r="AR46" s="43">
        <f t="shared" si="55"/>
        <v>162.20111007202922</v>
      </c>
      <c r="AV46" s="31">
        <v>43955</v>
      </c>
      <c r="AW46" s="40">
        <f t="shared" si="56"/>
        <v>0.37575072074411153</v>
      </c>
      <c r="AX46" s="40">
        <f t="shared" si="33"/>
        <v>4.8646550244864084E-2</v>
      </c>
      <c r="AY46" s="40">
        <f t="shared" si="34"/>
        <v>0.52664913445404982</v>
      </c>
      <c r="AZ46" s="40">
        <f t="shared" si="35"/>
        <v>-0.10085066542992716</v>
      </c>
      <c r="BA46" s="40">
        <f t="shared" si="36"/>
        <v>-2.2203645863202448E-2</v>
      </c>
      <c r="BB46" s="40">
        <f t="shared" si="37"/>
        <v>6.5574143358871906E-2</v>
      </c>
      <c r="BC46" s="40">
        <f t="shared" si="38"/>
        <v>0.11683167084031698</v>
      </c>
      <c r="BD46" s="40">
        <f t="shared" si="39"/>
        <v>0.21374267672601133</v>
      </c>
      <c r="BH46" s="31">
        <v>43955</v>
      </c>
      <c r="BI46" s="40">
        <f t="shared" si="40"/>
        <v>0.20534514404245885</v>
      </c>
      <c r="BJ46" s="40">
        <f t="shared" si="41"/>
        <v>3.4808567388451427E-3</v>
      </c>
      <c r="BK46" s="40">
        <f t="shared" si="42"/>
        <v>0.21454252386288028</v>
      </c>
      <c r="BL46" s="40">
        <f t="shared" si="43"/>
        <v>0.37836768553160743</v>
      </c>
      <c r="BM46" s="40">
        <f t="shared" si="44"/>
        <v>0.46538824847452026</v>
      </c>
      <c r="BN46" s="40">
        <f t="shared" si="45"/>
        <v>2.4184892166203859E-2</v>
      </c>
      <c r="BO46" s="40">
        <f t="shared" si="46"/>
        <v>0.13233242242549631</v>
      </c>
      <c r="BP46" s="40">
        <f t="shared" si="47"/>
        <v>0.17706845122206785</v>
      </c>
    </row>
    <row r="47" spans="1:68" x14ac:dyDescent="0.2">
      <c r="A47" s="32">
        <v>43647</v>
      </c>
      <c r="B47" s="40">
        <v>-1.2200000000000001E-2</v>
      </c>
      <c r="C47" s="40">
        <v>5.7000000000000002E-3</v>
      </c>
      <c r="D47" s="40">
        <v>1.18E-2</v>
      </c>
      <c r="E47" s="40">
        <v>8.9999999999999993E-3</v>
      </c>
      <c r="F47" s="40">
        <v>6.4199999999999993E-2</v>
      </c>
      <c r="G47" s="40">
        <f>SUMPRODUCT($B47:$F47,Carteiras!$M$16:$Q$16)</f>
        <v>6.1700000000000001E-3</v>
      </c>
      <c r="H47" s="40">
        <f>SUMPRODUCT($B47:$F47,Carteiras!$M$17:$Q$17)</f>
        <v>1.4989999999999996E-2</v>
      </c>
      <c r="I47" s="40">
        <f>SUMPRODUCT($B47:$F47,Carteiras!$M$18:$Q$18)</f>
        <v>2.3454999999999997E-2</v>
      </c>
      <c r="M47" s="40"/>
      <c r="N47" s="40"/>
      <c r="O47" s="40"/>
      <c r="P47" s="40"/>
      <c r="Q47" s="40"/>
      <c r="R47" s="40"/>
      <c r="S47" s="40"/>
      <c r="T47" s="40"/>
      <c r="Y47" s="40"/>
      <c r="Z47" s="40"/>
      <c r="AA47" s="40"/>
      <c r="AB47" s="40"/>
      <c r="AC47" s="40"/>
      <c r="AD47" s="40"/>
      <c r="AE47" s="40"/>
      <c r="AF47" s="40"/>
      <c r="AJ47" s="32">
        <v>43647</v>
      </c>
      <c r="AK47" s="43">
        <f t="shared" si="48"/>
        <v>78.134030204850703</v>
      </c>
      <c r="AL47" s="43">
        <f t="shared" si="49"/>
        <v>137.09182061759427</v>
      </c>
      <c r="AM47" s="43">
        <f t="shared" si="50"/>
        <v>142.84034667920216</v>
      </c>
      <c r="AN47" s="43">
        <f t="shared" si="51"/>
        <v>230.54192410351189</v>
      </c>
      <c r="AO47" s="43">
        <f t="shared" si="52"/>
        <v>249.3728396578266</v>
      </c>
      <c r="AP47" s="43">
        <f t="shared" si="53"/>
        <v>141.94001876355713</v>
      </c>
      <c r="AQ47" s="43">
        <f t="shared" si="54"/>
        <v>163.26194927282233</v>
      </c>
      <c r="AR47" s="43">
        <f t="shared" si="55"/>
        <v>167.72162485333075</v>
      </c>
      <c r="AV47" s="31">
        <v>43983</v>
      </c>
      <c r="AW47" s="40">
        <f t="shared" si="56"/>
        <v>0.4358167286948007</v>
      </c>
      <c r="AX47" s="40">
        <f t="shared" si="33"/>
        <v>4.5932823728852989E-2</v>
      </c>
      <c r="AY47" s="40">
        <f t="shared" si="34"/>
        <v>0.51813840302399083</v>
      </c>
      <c r="AZ47" s="40">
        <f t="shared" si="35"/>
        <v>-5.6482463878281264E-2</v>
      </c>
      <c r="BA47" s="40">
        <f t="shared" si="36"/>
        <v>4.0564630654456035E-2</v>
      </c>
      <c r="BB47" s="40">
        <f t="shared" si="37"/>
        <v>6.5500154696660706E-2</v>
      </c>
      <c r="BC47" s="40">
        <f t="shared" si="38"/>
        <v>0.13641889139331642</v>
      </c>
      <c r="BD47" s="40">
        <f t="shared" si="39"/>
        <v>0.24314618246033026</v>
      </c>
      <c r="BH47" s="31">
        <v>43983</v>
      </c>
      <c r="BI47" s="40">
        <f t="shared" si="40"/>
        <v>0.19821070515076533</v>
      </c>
      <c r="BJ47" s="40">
        <f t="shared" si="41"/>
        <v>3.8361912929836587E-3</v>
      </c>
      <c r="BK47" s="40">
        <f t="shared" si="42"/>
        <v>0.21453637962317296</v>
      </c>
      <c r="BL47" s="40">
        <f t="shared" si="43"/>
        <v>0.38761620662243162</v>
      </c>
      <c r="BM47" s="40">
        <f t="shared" si="44"/>
        <v>0.4801839903052314</v>
      </c>
      <c r="BN47" s="40">
        <f t="shared" si="45"/>
        <v>2.4176148275822297E-2</v>
      </c>
      <c r="BO47" s="40">
        <f t="shared" si="46"/>
        <v>0.13551554297805238</v>
      </c>
      <c r="BP47" s="40">
        <f t="shared" si="47"/>
        <v>0.1813427157471329</v>
      </c>
    </row>
    <row r="48" spans="1:68" x14ac:dyDescent="0.2">
      <c r="A48" s="32">
        <v>43678</v>
      </c>
      <c r="B48" s="40">
        <v>8.2900000000000001E-2</v>
      </c>
      <c r="C48" s="40">
        <v>5.0000000000000001E-3</v>
      </c>
      <c r="D48" s="40">
        <v>6.5799999999999997E-2</v>
      </c>
      <c r="E48" s="40">
        <v>-3.8E-3</v>
      </c>
      <c r="F48" s="40">
        <v>1.1299999999999999E-2</v>
      </c>
      <c r="G48" s="40">
        <f>SUMPRODUCT($B48:$F48,Carteiras!$M$16:$Q$16)</f>
        <v>7.6E-3</v>
      </c>
      <c r="H48" s="40">
        <f>SUMPRODUCT($B48:$F48,Carteiras!$M$17:$Q$17)</f>
        <v>1.7639999999999996E-2</v>
      </c>
      <c r="I48" s="40">
        <f>SUMPRODUCT($B48:$F48,Carteiras!$M$18:$Q$18)</f>
        <v>3.2479999999999995E-2</v>
      </c>
      <c r="M48" s="40"/>
      <c r="N48" s="40"/>
      <c r="O48" s="40"/>
      <c r="P48" s="40"/>
      <c r="Q48" s="40"/>
      <c r="R48" s="40"/>
      <c r="S48" s="40"/>
      <c r="T48" s="40"/>
      <c r="Y48" s="40"/>
      <c r="Z48" s="40"/>
      <c r="AA48" s="40"/>
      <c r="AB48" s="40"/>
      <c r="AC48" s="40"/>
      <c r="AD48" s="40"/>
      <c r="AE48" s="40"/>
      <c r="AF48" s="40"/>
      <c r="AJ48" s="32">
        <v>43678</v>
      </c>
      <c r="AK48" s="43">
        <f t="shared" si="48"/>
        <v>77.180795036351526</v>
      </c>
      <c r="AL48" s="43">
        <f t="shared" si="49"/>
        <v>137.87324399511456</v>
      </c>
      <c r="AM48" s="43">
        <f t="shared" si="50"/>
        <v>144.52586277001674</v>
      </c>
      <c r="AN48" s="43">
        <f t="shared" si="51"/>
        <v>232.61680142044347</v>
      </c>
      <c r="AO48" s="43">
        <f t="shared" si="52"/>
        <v>265.3825759638591</v>
      </c>
      <c r="AP48" s="43">
        <f t="shared" si="53"/>
        <v>142.81578867932828</v>
      </c>
      <c r="AQ48" s="43">
        <f t="shared" si="54"/>
        <v>165.70924589242196</v>
      </c>
      <c r="AR48" s="43">
        <f t="shared" si="55"/>
        <v>171.65553556426562</v>
      </c>
      <c r="AV48" s="31">
        <v>44013</v>
      </c>
      <c r="AW48" s="40">
        <f t="shared" si="56"/>
        <v>0.39017525746477744</v>
      </c>
      <c r="AX48" s="40">
        <f t="shared" si="33"/>
        <v>4.1980805502573437E-2</v>
      </c>
      <c r="AY48" s="40">
        <f t="shared" si="34"/>
        <v>0.51663796973379106</v>
      </c>
      <c r="AZ48" s="40">
        <f t="shared" si="35"/>
        <v>1.336962724985824E-2</v>
      </c>
      <c r="BA48" s="40">
        <f t="shared" si="36"/>
        <v>7.028946129897351E-2</v>
      </c>
      <c r="BB48" s="40">
        <f t="shared" si="37"/>
        <v>6.5780780774753467E-2</v>
      </c>
      <c r="BC48" s="40">
        <f t="shared" si="38"/>
        <v>0.15001686520189716</v>
      </c>
      <c r="BD48" s="40">
        <f t="shared" si="39"/>
        <v>0.25342824902361505</v>
      </c>
      <c r="BH48" s="31">
        <v>44013</v>
      </c>
      <c r="BI48" s="40">
        <f t="shared" si="40"/>
        <v>0.20809572098173734</v>
      </c>
      <c r="BJ48" s="40">
        <f t="shared" si="41"/>
        <v>3.6040381392392217E-3</v>
      </c>
      <c r="BK48" s="40">
        <f t="shared" si="42"/>
        <v>0.21466706568756444</v>
      </c>
      <c r="BL48" s="40">
        <f t="shared" si="43"/>
        <v>0.39620811221101743</v>
      </c>
      <c r="BM48" s="40">
        <f t="shared" si="44"/>
        <v>0.48458794773591829</v>
      </c>
      <c r="BN48" s="40">
        <f t="shared" si="45"/>
        <v>2.4187722045022609E-2</v>
      </c>
      <c r="BO48" s="40">
        <f t="shared" si="46"/>
        <v>0.13640461742384474</v>
      </c>
      <c r="BP48" s="40">
        <f t="shared" si="47"/>
        <v>0.18173748166842693</v>
      </c>
    </row>
    <row r="49" spans="1:68" x14ac:dyDescent="0.2">
      <c r="A49" s="32">
        <v>43710</v>
      </c>
      <c r="B49" s="40">
        <v>1E-3</v>
      </c>
      <c r="C49" s="40">
        <v>4.5999999999999999E-3</v>
      </c>
      <c r="D49" s="40">
        <v>2.5100000000000001E-2</v>
      </c>
      <c r="E49" s="40">
        <v>3.4799999999999998E-2</v>
      </c>
      <c r="F49" s="40">
        <v>1.17E-2</v>
      </c>
      <c r="G49" s="40">
        <f>SUMPRODUCT($B49:$F49,Carteiras!$M$16:$Q$16)</f>
        <v>7.1350000000000007E-3</v>
      </c>
      <c r="H49" s="40">
        <f>SUMPRODUCT($B49:$F49,Carteiras!$M$17:$Q$17)</f>
        <v>1.3090000000000001E-2</v>
      </c>
      <c r="I49" s="40">
        <f>SUMPRODUCT($B49:$F49,Carteiras!$M$18:$Q$18)</f>
        <v>1.4030000000000001E-2</v>
      </c>
      <c r="M49" s="40"/>
      <c r="N49" s="40"/>
      <c r="O49" s="40"/>
      <c r="P49" s="40"/>
      <c r="Q49" s="40"/>
      <c r="R49" s="40"/>
      <c r="S49" s="40"/>
      <c r="T49" s="40"/>
      <c r="Y49" s="40"/>
      <c r="Z49" s="40"/>
      <c r="AA49" s="40"/>
      <c r="AB49" s="40"/>
      <c r="AC49" s="40"/>
      <c r="AD49" s="40"/>
      <c r="AE49" s="40"/>
      <c r="AF49" s="40"/>
      <c r="AJ49" s="32">
        <v>43710</v>
      </c>
      <c r="AK49" s="43">
        <f t="shared" si="48"/>
        <v>83.579082944865064</v>
      </c>
      <c r="AL49" s="43">
        <f t="shared" si="49"/>
        <v>138.56261021509013</v>
      </c>
      <c r="AM49" s="43">
        <f t="shared" si="50"/>
        <v>154.03566454028385</v>
      </c>
      <c r="AN49" s="43">
        <f t="shared" si="51"/>
        <v>231.73285757504578</v>
      </c>
      <c r="AO49" s="43">
        <f t="shared" si="52"/>
        <v>268.3813990722507</v>
      </c>
      <c r="AP49" s="43">
        <f t="shared" si="53"/>
        <v>143.90118867329119</v>
      </c>
      <c r="AQ49" s="43">
        <f t="shared" si="54"/>
        <v>168.63235698996431</v>
      </c>
      <c r="AR49" s="43">
        <f t="shared" si="55"/>
        <v>177.23090735939297</v>
      </c>
      <c r="AV49" s="31">
        <v>44046</v>
      </c>
      <c r="AW49" s="40">
        <f t="shared" si="56"/>
        <v>0.34845331096223342</v>
      </c>
      <c r="AX49" s="40">
        <f t="shared" si="33"/>
        <v>3.8455696309828369E-2</v>
      </c>
      <c r="AY49" s="40">
        <f t="shared" si="34"/>
        <v>0.60486423556555602</v>
      </c>
      <c r="AZ49" s="40">
        <f t="shared" si="35"/>
        <v>-1.9588790661099198E-2</v>
      </c>
      <c r="BA49" s="40">
        <f t="shared" si="36"/>
        <v>4.0444546032849527E-2</v>
      </c>
      <c r="BB49" s="40">
        <f t="shared" si="37"/>
        <v>6.4109548506368519E-2</v>
      </c>
      <c r="BC49" s="40">
        <f t="shared" si="38"/>
        <v>0.1464966591023884</v>
      </c>
      <c r="BD49" s="40">
        <f t="shared" si="39"/>
        <v>0.25879411844547717</v>
      </c>
      <c r="BH49" s="31">
        <v>44046</v>
      </c>
      <c r="BI49" s="40">
        <f t="shared" si="40"/>
        <v>0.20141406243223073</v>
      </c>
      <c r="BJ49" s="40">
        <f t="shared" si="41"/>
        <v>3.5954516722204355E-3</v>
      </c>
      <c r="BK49" s="40">
        <f t="shared" si="42"/>
        <v>0.23200498427247793</v>
      </c>
      <c r="BL49" s="40">
        <f t="shared" si="43"/>
        <v>0.3985910127618853</v>
      </c>
      <c r="BM49" s="40">
        <f t="shared" si="44"/>
        <v>0.48574409555200598</v>
      </c>
      <c r="BN49" s="40">
        <f t="shared" si="45"/>
        <v>2.4078416353467042E-2</v>
      </c>
      <c r="BO49" s="40">
        <f t="shared" si="46"/>
        <v>0.13631073241111477</v>
      </c>
      <c r="BP49" s="40">
        <f t="shared" si="47"/>
        <v>0.18211453820329662</v>
      </c>
    </row>
    <row r="50" spans="1:68" x14ac:dyDescent="0.2">
      <c r="A50" s="32">
        <v>43739</v>
      </c>
      <c r="B50" s="40">
        <v>-3.5200000000000002E-2</v>
      </c>
      <c r="C50" s="40">
        <v>4.7999999999999996E-3</v>
      </c>
      <c r="D50" s="40">
        <v>-1.7500000000000002E-2</v>
      </c>
      <c r="E50" s="40">
        <v>2.1999999999999999E-2</v>
      </c>
      <c r="F50" s="40">
        <v>2.46E-2</v>
      </c>
      <c r="G50" s="40">
        <f>SUMPRODUCT($B50:$F50,Carteiras!$M$16:$Q$16)</f>
        <v>4.5450000000000004E-3</v>
      </c>
      <c r="H50" s="40">
        <f>SUMPRODUCT($B50:$F50,Carteiras!$M$17:$Q$17)</f>
        <v>5.004999999999999E-3</v>
      </c>
      <c r="I50" s="40">
        <f>SUMPRODUCT($B50:$F50,Carteiras!$M$18:$Q$18)</f>
        <v>9.0999999999999848E-4</v>
      </c>
      <c r="M50" s="40"/>
      <c r="N50" s="40"/>
      <c r="O50" s="40"/>
      <c r="P50" s="40"/>
      <c r="Q50" s="40"/>
      <c r="R50" s="40"/>
      <c r="S50" s="40"/>
      <c r="T50" s="40"/>
      <c r="Y50" s="40"/>
      <c r="Z50" s="40"/>
      <c r="AA50" s="40"/>
      <c r="AB50" s="40"/>
      <c r="AC50" s="40"/>
      <c r="AD50" s="40"/>
      <c r="AE50" s="40"/>
      <c r="AF50" s="40"/>
      <c r="AJ50" s="32">
        <v>43739</v>
      </c>
      <c r="AK50" s="43">
        <f t="shared" si="48"/>
        <v>83.662662027809915</v>
      </c>
      <c r="AL50" s="43">
        <f t="shared" si="49"/>
        <v>139.19999822207953</v>
      </c>
      <c r="AM50" s="43">
        <f t="shared" si="50"/>
        <v>157.90195972024495</v>
      </c>
      <c r="AN50" s="43">
        <f t="shared" si="51"/>
        <v>239.79716101865736</v>
      </c>
      <c r="AO50" s="43">
        <f t="shared" si="52"/>
        <v>271.52146144139607</v>
      </c>
      <c r="AP50" s="43">
        <f t="shared" si="53"/>
        <v>144.92792365447511</v>
      </c>
      <c r="AQ50" s="43">
        <f t="shared" si="54"/>
        <v>170.83975454296294</v>
      </c>
      <c r="AR50" s="43">
        <f t="shared" si="55"/>
        <v>179.71745698964526</v>
      </c>
      <c r="AV50" s="31">
        <v>44075</v>
      </c>
      <c r="AW50" s="40">
        <f t="shared" si="56"/>
        <v>0.37606898815976186</v>
      </c>
      <c r="AX50" s="40">
        <f t="shared" si="33"/>
        <v>3.5354594290189612E-2</v>
      </c>
      <c r="AY50" s="40">
        <f t="shared" si="34"/>
        <v>0.5416152694970271</v>
      </c>
      <c r="AZ50" s="40">
        <f t="shared" si="35"/>
        <v>-9.8605310625212383E-2</v>
      </c>
      <c r="BA50" s="40">
        <f t="shared" si="36"/>
        <v>-2.1671546267619024E-2</v>
      </c>
      <c r="BB50" s="40">
        <f t="shared" si="37"/>
        <v>5.4716633071773213E-2</v>
      </c>
      <c r="BC50" s="40">
        <f t="shared" si="38"/>
        <v>0.11469071036725875</v>
      </c>
      <c r="BD50" s="40">
        <f t="shared" si="39"/>
        <v>0.21769210641256942</v>
      </c>
      <c r="BH50" s="31">
        <v>44075</v>
      </c>
      <c r="BI50" s="40">
        <f t="shared" si="40"/>
        <v>0.19959461643313653</v>
      </c>
      <c r="BJ50" s="40">
        <f t="shared" si="41"/>
        <v>3.5265228818715513E-3</v>
      </c>
      <c r="BK50" s="40">
        <f t="shared" si="42"/>
        <v>0.2386626984603242</v>
      </c>
      <c r="BL50" s="40">
        <f t="shared" si="43"/>
        <v>0.40060979314494588</v>
      </c>
      <c r="BM50" s="40">
        <f t="shared" si="44"/>
        <v>0.48982918265638092</v>
      </c>
      <c r="BN50" s="40">
        <f t="shared" si="45"/>
        <v>2.4930643201781726E-2</v>
      </c>
      <c r="BO50" s="40">
        <f t="shared" si="46"/>
        <v>0.13897855138637233</v>
      </c>
      <c r="BP50" s="40">
        <f t="shared" si="47"/>
        <v>0.18638684348687273</v>
      </c>
    </row>
    <row r="51" spans="1:68" x14ac:dyDescent="0.2">
      <c r="A51" s="32">
        <v>43770</v>
      </c>
      <c r="B51" s="40">
        <v>5.2499999999999998E-2</v>
      </c>
      <c r="C51" s="40">
        <v>3.8E-3</v>
      </c>
      <c r="D51" s="40">
        <v>0.1046</v>
      </c>
      <c r="E51" s="40">
        <v>1.0800000000000001E-2</v>
      </c>
      <c r="F51" s="40">
        <v>4.87E-2</v>
      </c>
      <c r="G51" s="40">
        <f>SUMPRODUCT($B51:$F51,Carteiras!$M$16:$Q$16)</f>
        <v>9.1900000000000003E-3</v>
      </c>
      <c r="H51" s="40">
        <f>SUMPRODUCT($B51:$F51,Carteiras!$M$17:$Q$17)</f>
        <v>2.9139999999999999E-2</v>
      </c>
      <c r="I51" s="40">
        <f>SUMPRODUCT($B51:$F51,Carteiras!$M$18:$Q$18)</f>
        <v>5.2729999999999999E-2</v>
      </c>
      <c r="M51" s="40"/>
      <c r="N51" s="40"/>
      <c r="O51" s="40"/>
      <c r="P51" s="40"/>
      <c r="Q51" s="40"/>
      <c r="R51" s="40"/>
      <c r="S51" s="40"/>
      <c r="T51" s="40"/>
      <c r="Y51" s="40"/>
      <c r="Z51" s="40"/>
      <c r="AA51" s="40"/>
      <c r="AB51" s="40"/>
      <c r="AC51" s="40"/>
      <c r="AD51" s="40"/>
      <c r="AE51" s="40"/>
      <c r="AF51" s="40"/>
      <c r="AJ51" s="32">
        <v>43770</v>
      </c>
      <c r="AK51" s="43">
        <f t="shared" si="48"/>
        <v>80.717736324431002</v>
      </c>
      <c r="AL51" s="43">
        <f t="shared" si="49"/>
        <v>139.86815821354551</v>
      </c>
      <c r="AM51" s="43">
        <f t="shared" si="50"/>
        <v>155.13867542514066</v>
      </c>
      <c r="AN51" s="43">
        <f t="shared" si="51"/>
        <v>245.07269856106782</v>
      </c>
      <c r="AO51" s="43">
        <f t="shared" si="52"/>
        <v>278.20088939285438</v>
      </c>
      <c r="AP51" s="43">
        <f t="shared" si="53"/>
        <v>145.58662106748471</v>
      </c>
      <c r="AQ51" s="43">
        <f t="shared" si="54"/>
        <v>171.69480751445045</v>
      </c>
      <c r="AR51" s="43">
        <f t="shared" si="55"/>
        <v>179.88099987550584</v>
      </c>
      <c r="AV51" s="31">
        <v>44105</v>
      </c>
      <c r="AW51" s="40">
        <f t="shared" si="56"/>
        <v>0.46435533804273144</v>
      </c>
      <c r="AX51" s="40">
        <f t="shared" si="33"/>
        <v>3.2057286665061691E-2</v>
      </c>
      <c r="AY51" s="40">
        <f t="shared" si="34"/>
        <v>0.55840436199943766</v>
      </c>
      <c r="AZ51" s="40">
        <f t="shared" si="35"/>
        <v>-0.1218016710269314</v>
      </c>
      <c r="BA51" s="40">
        <f t="shared" si="36"/>
        <v>-6.7217385856760625E-2</v>
      </c>
      <c r="BB51" s="40">
        <f t="shared" si="37"/>
        <v>5.0873835708745485E-2</v>
      </c>
      <c r="BC51" s="40">
        <f t="shared" si="38"/>
        <v>0.10581759462859308</v>
      </c>
      <c r="BD51" s="40">
        <f t="shared" si="39"/>
        <v>0.20914559668886912</v>
      </c>
      <c r="BH51" s="31">
        <v>44105</v>
      </c>
      <c r="BI51" s="40">
        <f t="shared" si="40"/>
        <v>0.18729095255535141</v>
      </c>
      <c r="BJ51" s="40">
        <f t="shared" si="41"/>
        <v>3.0677205040402699E-3</v>
      </c>
      <c r="BK51" s="40">
        <f t="shared" si="42"/>
        <v>0.23613725400129634</v>
      </c>
      <c r="BL51" s="40">
        <f t="shared" si="43"/>
        <v>0.3997886259694558</v>
      </c>
      <c r="BM51" s="40">
        <f t="shared" si="44"/>
        <v>0.4905178895820213</v>
      </c>
      <c r="BN51" s="40">
        <f t="shared" si="45"/>
        <v>2.5186443819497965E-2</v>
      </c>
      <c r="BO51" s="40">
        <f t="shared" si="46"/>
        <v>0.13951160759788214</v>
      </c>
      <c r="BP51" s="40">
        <f t="shared" si="47"/>
        <v>0.18721550144637641</v>
      </c>
    </row>
    <row r="52" spans="1:68" x14ac:dyDescent="0.2">
      <c r="A52" s="32">
        <v>43801</v>
      </c>
      <c r="B52" s="40">
        <v>-5.3199999999999997E-2</v>
      </c>
      <c r="C52" s="40">
        <v>3.7000000000000002E-3</v>
      </c>
      <c r="D52" s="40">
        <v>-3.4099999999999998E-2</v>
      </c>
      <c r="E52" s="40">
        <v>6.59E-2</v>
      </c>
      <c r="F52" s="40">
        <v>0.12570000000000001</v>
      </c>
      <c r="G52" s="40">
        <f>SUMPRODUCT($B52:$F52,Carteiras!$M$16:$Q$16)</f>
        <v>4.9200000000000008E-3</v>
      </c>
      <c r="H52" s="40">
        <f>SUMPRODUCT($B52:$F52,Carteiras!$M$17:$Q$17)</f>
        <v>2.2815000000000002E-2</v>
      </c>
      <c r="I52" s="40">
        <f>SUMPRODUCT($B52:$F52,Carteiras!$M$18:$Q$18)</f>
        <v>2.6380000000000001E-2</v>
      </c>
      <c r="M52" s="40"/>
      <c r="N52" s="40"/>
      <c r="O52" s="40"/>
      <c r="P52" s="40"/>
      <c r="Q52" s="40"/>
      <c r="R52" s="40"/>
      <c r="S52" s="40"/>
      <c r="T52" s="40"/>
      <c r="Y52" s="40"/>
      <c r="Z52" s="40"/>
      <c r="AA52" s="40"/>
      <c r="AB52" s="40"/>
      <c r="AC52" s="40"/>
      <c r="AD52" s="40"/>
      <c r="AE52" s="40"/>
      <c r="AF52" s="40"/>
      <c r="AJ52" s="32">
        <v>43801</v>
      </c>
      <c r="AK52" s="43">
        <f t="shared" si="48"/>
        <v>84.955417481463627</v>
      </c>
      <c r="AL52" s="43">
        <f t="shared" si="49"/>
        <v>140.39965721475699</v>
      </c>
      <c r="AM52" s="43">
        <f t="shared" si="50"/>
        <v>171.36618087461036</v>
      </c>
      <c r="AN52" s="43">
        <f t="shared" si="51"/>
        <v>247.71948370552732</v>
      </c>
      <c r="AO52" s="43">
        <f t="shared" si="52"/>
        <v>291.74927270628638</v>
      </c>
      <c r="AP52" s="43">
        <f t="shared" si="53"/>
        <v>146.92456211509491</v>
      </c>
      <c r="AQ52" s="43">
        <f t="shared" si="54"/>
        <v>176.69799420542151</v>
      </c>
      <c r="AR52" s="43">
        <f t="shared" si="55"/>
        <v>189.36612499894125</v>
      </c>
      <c r="AV52" s="31">
        <v>44138</v>
      </c>
      <c r="AW52" s="40">
        <f t="shared" si="56"/>
        <v>0.28891095977461889</v>
      </c>
      <c r="AX52" s="40">
        <f t="shared" si="33"/>
        <v>2.9692540939489698E-2</v>
      </c>
      <c r="AY52" s="40">
        <f t="shared" si="34"/>
        <v>0.46232674380990146</v>
      </c>
      <c r="AZ52" s="40">
        <f t="shared" si="35"/>
        <v>6.2616784889280019E-3</v>
      </c>
      <c r="BA52" s="40">
        <f t="shared" si="36"/>
        <v>4.5388963862448062E-2</v>
      </c>
      <c r="BB52" s="40">
        <f t="shared" si="37"/>
        <v>5.2847107261840609E-2</v>
      </c>
      <c r="BC52" s="40">
        <f t="shared" si="38"/>
        <v>0.13099328135940502</v>
      </c>
      <c r="BD52" s="40">
        <f t="shared" si="39"/>
        <v>0.22262419383832266</v>
      </c>
      <c r="BH52" s="31">
        <v>44138</v>
      </c>
      <c r="BI52" s="40">
        <f t="shared" si="40"/>
        <v>0.21394468274001871</v>
      </c>
      <c r="BJ52" s="40">
        <f t="shared" si="41"/>
        <v>2.9742837182023568E-3</v>
      </c>
      <c r="BK52" s="40">
        <f t="shared" si="42"/>
        <v>0.22527596813282555</v>
      </c>
      <c r="BL52" s="40">
        <f t="shared" si="43"/>
        <v>0.43153320318898453</v>
      </c>
      <c r="BM52" s="40">
        <f t="shared" si="44"/>
        <v>0.5183020740842158</v>
      </c>
      <c r="BN52" s="40">
        <f t="shared" si="45"/>
        <v>2.5665385426502155E-2</v>
      </c>
      <c r="BO52" s="40">
        <f t="shared" si="46"/>
        <v>0.1450275117160377</v>
      </c>
      <c r="BP52" s="40">
        <f t="shared" si="47"/>
        <v>0.18998527758152015</v>
      </c>
    </row>
    <row r="53" spans="1:68" x14ac:dyDescent="0.2">
      <c r="A53" s="32">
        <v>43832</v>
      </c>
      <c r="B53" s="40">
        <v>6.4500000000000002E-2</v>
      </c>
      <c r="C53" s="40">
        <v>3.8E-3</v>
      </c>
      <c r="D53" s="40">
        <v>6.7699999999999996E-2</v>
      </c>
      <c r="E53" s="40">
        <v>-2.0899999999999998E-2</v>
      </c>
      <c r="F53" s="40">
        <v>3.3999999999999998E-3</v>
      </c>
      <c r="G53" s="40">
        <f>SUMPRODUCT($B53:$F53,Carteiras!$M$16:$Q$16)</f>
        <v>5.7600000000000004E-3</v>
      </c>
      <c r="H53" s="40">
        <f>SUMPRODUCT($B53:$F53,Carteiras!$M$17:$Q$17)</f>
        <v>1.2655E-2</v>
      </c>
      <c r="I53" s="40">
        <f>SUMPRODUCT($B53:$F53,Carteiras!$M$18:$Q$18)</f>
        <v>2.7684999999999998E-2</v>
      </c>
      <c r="M53" s="40"/>
      <c r="N53" s="40"/>
      <c r="O53" s="40"/>
      <c r="P53" s="40"/>
      <c r="Q53" s="40"/>
      <c r="R53" s="40"/>
      <c r="S53" s="40"/>
      <c r="T53" s="40"/>
      <c r="Y53" s="40"/>
      <c r="Z53" s="40"/>
      <c r="AA53" s="40"/>
      <c r="AB53" s="40"/>
      <c r="AC53" s="40"/>
      <c r="AD53" s="40"/>
      <c r="AE53" s="40"/>
      <c r="AF53" s="40"/>
      <c r="AJ53" s="32">
        <v>43832</v>
      </c>
      <c r="AK53" s="43">
        <f t="shared" si="48"/>
        <v>80.435789271449764</v>
      </c>
      <c r="AL53" s="43">
        <f t="shared" si="49"/>
        <v>140.9191359464516</v>
      </c>
      <c r="AM53" s="43">
        <f t="shared" si="50"/>
        <v>165.52259410678616</v>
      </c>
      <c r="AN53" s="43">
        <f t="shared" si="51"/>
        <v>264.04419768172158</v>
      </c>
      <c r="AO53" s="43">
        <f t="shared" si="52"/>
        <v>328.42215628546654</v>
      </c>
      <c r="AP53" s="43">
        <f t="shared" si="53"/>
        <v>147.6474309607012</v>
      </c>
      <c r="AQ53" s="43">
        <f t="shared" si="54"/>
        <v>180.72935894321822</v>
      </c>
      <c r="AR53" s="43">
        <f t="shared" si="55"/>
        <v>194.36160337641334</v>
      </c>
      <c r="AV53" s="31">
        <v>44166</v>
      </c>
      <c r="AW53" s="40">
        <f t="shared" si="56"/>
        <v>0.32743670983970308</v>
      </c>
      <c r="AX53" s="40">
        <f t="shared" si="33"/>
        <v>2.7538157821054732E-2</v>
      </c>
      <c r="AY53" s="40">
        <f t="shared" si="34"/>
        <v>0.51425531541429037</v>
      </c>
      <c r="AZ53" s="40">
        <f t="shared" si="35"/>
        <v>3.0806948815142343E-2</v>
      </c>
      <c r="BA53" s="40">
        <f t="shared" si="36"/>
        <v>-8.2873993881954489E-3</v>
      </c>
      <c r="BB53" s="40">
        <f t="shared" si="37"/>
        <v>5.4025761279742346E-2</v>
      </c>
      <c r="BC53" s="40">
        <f t="shared" si="38"/>
        <v>0.13181154764236558</v>
      </c>
      <c r="BD53" s="40">
        <f t="shared" si="39"/>
        <v>0.21852050870438267</v>
      </c>
      <c r="BH53" s="31">
        <v>44166</v>
      </c>
      <c r="BI53" s="40">
        <f t="shared" si="40"/>
        <v>0.20460717795993194</v>
      </c>
      <c r="BJ53" s="40">
        <f t="shared" si="41"/>
        <v>2.7369525189358123E-3</v>
      </c>
      <c r="BK53" s="40">
        <f t="shared" si="42"/>
        <v>0.21640388796708979</v>
      </c>
      <c r="BL53" s="40">
        <f t="shared" si="43"/>
        <v>0.43606000004169565</v>
      </c>
      <c r="BM53" s="40">
        <f t="shared" si="44"/>
        <v>0.50805362995366043</v>
      </c>
      <c r="BN53" s="40">
        <f t="shared" si="45"/>
        <v>2.5718398923374262E-2</v>
      </c>
      <c r="BO53" s="40">
        <f t="shared" si="46"/>
        <v>0.14509443153903723</v>
      </c>
      <c r="BP53" s="40">
        <f t="shared" si="47"/>
        <v>0.18985626292731897</v>
      </c>
    </row>
    <row r="54" spans="1:68" x14ac:dyDescent="0.2">
      <c r="A54" s="32">
        <v>43864</v>
      </c>
      <c r="B54" s="40">
        <v>4.65E-2</v>
      </c>
      <c r="C54" s="40">
        <v>2.8999999999999998E-3</v>
      </c>
      <c r="D54" s="40">
        <v>-4.4200000000000003E-2</v>
      </c>
      <c r="E54" s="40">
        <v>-7.6200000000000004E-2</v>
      </c>
      <c r="F54" s="40">
        <v>-8.0399999999999999E-2</v>
      </c>
      <c r="G54" s="40">
        <f>SUMPRODUCT($B54:$F54,Carteiras!$M$16:$Q$16)</f>
        <v>-3.4100000000000007E-3</v>
      </c>
      <c r="H54" s="40">
        <f>SUMPRODUCT($B54:$F54,Carteiras!$M$17:$Q$17)</f>
        <v>-2.6345E-2</v>
      </c>
      <c r="I54" s="40">
        <f>SUMPRODUCT($B54:$F54,Carteiras!$M$18:$Q$18)</f>
        <v>-3.5815E-2</v>
      </c>
      <c r="M54" s="40"/>
      <c r="N54" s="40"/>
      <c r="O54" s="40"/>
      <c r="P54" s="40"/>
      <c r="Q54" s="40"/>
      <c r="R54" s="40"/>
      <c r="S54" s="40"/>
      <c r="T54" s="40"/>
      <c r="Y54" s="40"/>
      <c r="Z54" s="40"/>
      <c r="AA54" s="40"/>
      <c r="AB54" s="40"/>
      <c r="AC54" s="40"/>
      <c r="AD54" s="40"/>
      <c r="AE54" s="40"/>
      <c r="AF54" s="40"/>
      <c r="AJ54" s="32">
        <v>43864</v>
      </c>
      <c r="AK54" s="43">
        <f t="shared" si="48"/>
        <v>85.623897679458267</v>
      </c>
      <c r="AL54" s="43">
        <f t="shared" si="49"/>
        <v>141.45462866304811</v>
      </c>
      <c r="AM54" s="43">
        <f t="shared" si="50"/>
        <v>176.72847372781558</v>
      </c>
      <c r="AN54" s="43">
        <f t="shared" si="51"/>
        <v>258.5256739501736</v>
      </c>
      <c r="AO54" s="43">
        <f t="shared" si="52"/>
        <v>329.53879161683716</v>
      </c>
      <c r="AP54" s="43">
        <f t="shared" si="53"/>
        <v>148.49788016303484</v>
      </c>
      <c r="AQ54" s="43">
        <f t="shared" si="54"/>
        <v>183.01648898064465</v>
      </c>
      <c r="AR54" s="43">
        <f t="shared" si="55"/>
        <v>199.74250436588935</v>
      </c>
      <c r="AV54" s="31">
        <v>44200</v>
      </c>
      <c r="AW54" s="40">
        <f t="shared" si="56"/>
        <v>0.30910573789546314</v>
      </c>
      <c r="AX54" s="40">
        <f t="shared" si="33"/>
        <v>2.518376674415812E-2</v>
      </c>
      <c r="AY54" s="40">
        <f t="shared" si="34"/>
        <v>0.48546503452742162</v>
      </c>
      <c r="AZ54" s="40">
        <f t="shared" si="35"/>
        <v>1.5225350569341378E-2</v>
      </c>
      <c r="BA54" s="40">
        <f t="shared" si="36"/>
        <v>-5.03912032411582E-2</v>
      </c>
      <c r="BB54" s="40">
        <f t="shared" si="37"/>
        <v>5.0017202044044584E-2</v>
      </c>
      <c r="BC54" s="40">
        <f t="shared" si="38"/>
        <v>0.1166783301545955</v>
      </c>
      <c r="BD54" s="40">
        <f t="shared" si="39"/>
        <v>0.1928442931169283</v>
      </c>
      <c r="BH54" s="31">
        <v>44200</v>
      </c>
      <c r="BI54" s="40">
        <f t="shared" si="40"/>
        <v>0.20205678769728436</v>
      </c>
      <c r="BJ54" s="40">
        <f t="shared" si="41"/>
        <v>2.2552967956266053E-3</v>
      </c>
      <c r="BK54" s="40">
        <f t="shared" si="42"/>
        <v>0.21418680886298552</v>
      </c>
      <c r="BL54" s="40">
        <f t="shared" si="43"/>
        <v>0.4374807091850918</v>
      </c>
      <c r="BM54" s="40">
        <f t="shared" si="44"/>
        <v>0.51052726398570258</v>
      </c>
      <c r="BN54" s="40">
        <f t="shared" si="45"/>
        <v>2.5785272575991551E-2</v>
      </c>
      <c r="BO54" s="40">
        <f t="shared" si="46"/>
        <v>0.14557634257729452</v>
      </c>
      <c r="BP54" s="40">
        <f t="shared" si="47"/>
        <v>0.18988542374882997</v>
      </c>
    </row>
    <row r="55" spans="1:68" x14ac:dyDescent="0.2">
      <c r="A55" s="32">
        <v>43892</v>
      </c>
      <c r="B55" s="40">
        <v>0.1578</v>
      </c>
      <c r="C55" s="40">
        <v>3.3999999999999998E-3</v>
      </c>
      <c r="D55" s="40">
        <v>2.1600000000000001E-2</v>
      </c>
      <c r="E55" s="40">
        <v>-0.31059999999999999</v>
      </c>
      <c r="F55" s="40">
        <v>-0.37480000000000002</v>
      </c>
      <c r="G55" s="40">
        <f>SUMPRODUCT($B55:$F55,Carteiras!$M$16:$Q$16)</f>
        <v>-1.1390000000000001E-2</v>
      </c>
      <c r="H55" s="40">
        <f>SUMPRODUCT($B55:$F55,Carteiras!$M$17:$Q$17)</f>
        <v>-8.9980000000000004E-2</v>
      </c>
      <c r="I55" s="40">
        <f>SUMPRODUCT($B55:$F55,Carteiras!$M$18:$Q$18)</f>
        <v>-0.10485999999999999</v>
      </c>
      <c r="M55" s="40"/>
      <c r="N55" s="40"/>
      <c r="O55" s="40"/>
      <c r="P55" s="40"/>
      <c r="Q55" s="40"/>
      <c r="R55" s="40"/>
      <c r="S55" s="40"/>
      <c r="T55" s="40"/>
      <c r="Y55" s="40"/>
      <c r="Z55" s="40"/>
      <c r="AA55" s="40"/>
      <c r="AB55" s="40"/>
      <c r="AC55" s="40"/>
      <c r="AD55" s="40"/>
      <c r="AE55" s="40"/>
      <c r="AF55" s="40"/>
      <c r="AJ55" s="32">
        <v>43892</v>
      </c>
      <c r="AK55" s="43">
        <f t="shared" si="48"/>
        <v>89.605408921553078</v>
      </c>
      <c r="AL55" s="43">
        <f t="shared" si="49"/>
        <v>141.86484708617093</v>
      </c>
      <c r="AM55" s="43">
        <f t="shared" si="50"/>
        <v>168.91707518904613</v>
      </c>
      <c r="AN55" s="43">
        <f t="shared" si="51"/>
        <v>238.82601759517036</v>
      </c>
      <c r="AO55" s="43">
        <f t="shared" si="52"/>
        <v>303.04387277084345</v>
      </c>
      <c r="AP55" s="43">
        <f t="shared" si="53"/>
        <v>147.99150239167889</v>
      </c>
      <c r="AQ55" s="43">
        <f t="shared" si="54"/>
        <v>178.19491957844957</v>
      </c>
      <c r="AR55" s="43">
        <f t="shared" si="55"/>
        <v>192.58872657202502</v>
      </c>
      <c r="AV55" s="31">
        <v>44228</v>
      </c>
      <c r="AW55" s="40">
        <f t="shared" si="56"/>
        <v>0.28296115125235244</v>
      </c>
      <c r="AX55" s="40">
        <f t="shared" si="33"/>
        <v>2.3548215815062168E-2</v>
      </c>
      <c r="AY55" s="40">
        <f t="shared" si="34"/>
        <v>0.63186679875893814</v>
      </c>
      <c r="AZ55" s="40">
        <f t="shared" si="35"/>
        <v>4.9513108674735573E-2</v>
      </c>
      <c r="BA55" s="40">
        <f t="shared" si="36"/>
        <v>1.012105805730612E-2</v>
      </c>
      <c r="BB55" s="40">
        <f t="shared" si="37"/>
        <v>5.5106138402900573E-2</v>
      </c>
      <c r="BC55" s="40">
        <f t="shared" si="38"/>
        <v>0.14621656535405658</v>
      </c>
      <c r="BD55" s="40">
        <f t="shared" si="39"/>
        <v>0.24840483098453792</v>
      </c>
      <c r="BH55" s="31">
        <v>44228</v>
      </c>
      <c r="BI55" s="40">
        <f t="shared" si="40"/>
        <v>0.20061623925930186</v>
      </c>
      <c r="BJ55" s="40">
        <f t="shared" si="41"/>
        <v>2.1832003197974374E-3</v>
      </c>
      <c r="BK55" s="40">
        <f t="shared" si="42"/>
        <v>0.19606386714537688</v>
      </c>
      <c r="BL55" s="40">
        <f t="shared" si="43"/>
        <v>0.43188869357319792</v>
      </c>
      <c r="BM55" s="40">
        <f t="shared" si="44"/>
        <v>0.50283412410419837</v>
      </c>
      <c r="BN55" s="40">
        <f t="shared" si="45"/>
        <v>2.4679113730955875E-2</v>
      </c>
      <c r="BO55" s="40">
        <f t="shared" si="46"/>
        <v>0.14074784128007076</v>
      </c>
      <c r="BP55" s="40">
        <f t="shared" si="47"/>
        <v>0.18159760327688546</v>
      </c>
    </row>
    <row r="56" spans="1:68" x14ac:dyDescent="0.2">
      <c r="A56" s="32">
        <v>43922</v>
      </c>
      <c r="B56" s="40">
        <v>5.28E-2</v>
      </c>
      <c r="C56" s="40">
        <v>2.8E-3</v>
      </c>
      <c r="D56" s="40">
        <v>0.17899999999999999</v>
      </c>
      <c r="E56" s="40">
        <v>0.1133</v>
      </c>
      <c r="F56" s="40">
        <v>0.14879999999999999</v>
      </c>
      <c r="G56" s="40">
        <f>SUMPRODUCT($B56:$F56,Carteiras!$M$16:$Q$16)</f>
        <v>1.7134999999999997E-2</v>
      </c>
      <c r="H56" s="40">
        <f>SUMPRODUCT($B56:$F56,Carteiras!$M$17:$Q$17)</f>
        <v>7.020499999999999E-2</v>
      </c>
      <c r="I56" s="40">
        <f>SUMPRODUCT($B56:$F56,Carteiras!$M$18:$Q$18)</f>
        <v>0.109985</v>
      </c>
      <c r="M56" s="40"/>
      <c r="N56" s="40"/>
      <c r="O56" s="40"/>
      <c r="P56" s="40"/>
      <c r="Q56" s="40"/>
      <c r="R56" s="40"/>
      <c r="S56" s="40"/>
      <c r="T56" s="40"/>
      <c r="Y56" s="40"/>
      <c r="Z56" s="40"/>
      <c r="AA56" s="40"/>
      <c r="AB56" s="40"/>
      <c r="AC56" s="40"/>
      <c r="AD56" s="40"/>
      <c r="AE56" s="40"/>
      <c r="AF56" s="40"/>
      <c r="AJ56" s="32">
        <v>43922</v>
      </c>
      <c r="AK56" s="43">
        <f t="shared" si="48"/>
        <v>103.74514244937414</v>
      </c>
      <c r="AL56" s="43">
        <f t="shared" si="49"/>
        <v>142.34718756626393</v>
      </c>
      <c r="AM56" s="43">
        <f t="shared" si="50"/>
        <v>172.56568401312953</v>
      </c>
      <c r="AN56" s="43">
        <f t="shared" si="51"/>
        <v>164.64665653011045</v>
      </c>
      <c r="AO56" s="43">
        <f t="shared" si="52"/>
        <v>189.46302925633131</v>
      </c>
      <c r="AP56" s="43">
        <f t="shared" si="53"/>
        <v>146.30587917943768</v>
      </c>
      <c r="AQ56" s="43">
        <f t="shared" si="54"/>
        <v>162.16094071478068</v>
      </c>
      <c r="AR56" s="43">
        <f t="shared" si="55"/>
        <v>172.39387270368249</v>
      </c>
      <c r="AV56" s="31">
        <v>44256</v>
      </c>
      <c r="AW56" s="40">
        <f t="shared" si="56"/>
        <v>0.11242416630008401</v>
      </c>
      <c r="AX56" s="40">
        <f t="shared" si="33"/>
        <v>2.2120103893454646E-2</v>
      </c>
      <c r="AY56" s="40">
        <f t="shared" si="34"/>
        <v>0.68170454750725273</v>
      </c>
      <c r="AZ56" s="40">
        <f t="shared" si="35"/>
        <v>0.61506883810998958</v>
      </c>
      <c r="BA56" s="40">
        <f t="shared" si="36"/>
        <v>0.70453889355479515</v>
      </c>
      <c r="BB56" s="40">
        <f t="shared" si="37"/>
        <v>7.5250713475330633E-2</v>
      </c>
      <c r="BC56" s="40">
        <f t="shared" si="38"/>
        <v>0.29292906126891616</v>
      </c>
      <c r="BD56" s="40">
        <f t="shared" si="39"/>
        <v>0.44523841659237884</v>
      </c>
      <c r="BH56" s="31">
        <v>44256</v>
      </c>
      <c r="BI56" s="40">
        <f t="shared" si="40"/>
        <v>0.13596622575277489</v>
      </c>
      <c r="BJ56" s="40">
        <f t="shared" si="41"/>
        <v>1.5072551813870739E-3</v>
      </c>
      <c r="BK56" s="40">
        <f t="shared" si="42"/>
        <v>0.19482742013475327</v>
      </c>
      <c r="BL56" s="40">
        <f t="shared" si="43"/>
        <v>0.25092541992320422</v>
      </c>
      <c r="BM56" s="40">
        <f t="shared" si="44"/>
        <v>0.27304450519683016</v>
      </c>
      <c r="BN56" s="40">
        <f t="shared" si="45"/>
        <v>1.7629745202613983E-2</v>
      </c>
      <c r="BO56" s="40">
        <f t="shared" si="46"/>
        <v>8.6066730492840679E-2</v>
      </c>
      <c r="BP56" s="40">
        <f t="shared" si="47"/>
        <v>0.12028897735340206</v>
      </c>
    </row>
    <row r="57" spans="1:68" x14ac:dyDescent="0.2">
      <c r="A57" s="32">
        <v>43955</v>
      </c>
      <c r="B57" s="40">
        <v>6.3E-3</v>
      </c>
      <c r="C57" s="40">
        <v>2.3999999999999998E-3</v>
      </c>
      <c r="D57" s="40">
        <v>3.0200000000000001E-2</v>
      </c>
      <c r="E57" s="40">
        <v>8.9899999999999994E-2</v>
      </c>
      <c r="F57" s="40">
        <v>4.6800000000000001E-2</v>
      </c>
      <c r="G57" s="40">
        <f>SUMPRODUCT($B57:$F57,Carteiras!$M$16:$Q$16)</f>
        <v>8.1650000000000004E-3</v>
      </c>
      <c r="H57" s="40">
        <f>SUMPRODUCT($B57:$F57,Carteiras!$M$17:$Q$17)</f>
        <v>2.6549999999999997E-2</v>
      </c>
      <c r="I57" s="40">
        <f>SUMPRODUCT($B57:$F57,Carteiras!$M$18:$Q$18)</f>
        <v>2.8825E-2</v>
      </c>
      <c r="M57" s="40"/>
      <c r="N57" s="40"/>
      <c r="O57" s="40"/>
      <c r="P57" s="40"/>
      <c r="Q57" s="40"/>
      <c r="R57" s="40"/>
      <c r="S57" s="40"/>
      <c r="T57" s="40"/>
      <c r="Y57" s="40"/>
      <c r="Z57" s="40"/>
      <c r="AA57" s="40"/>
      <c r="AB57" s="40"/>
      <c r="AC57" s="40"/>
      <c r="AD57" s="40"/>
      <c r="AE57" s="40"/>
      <c r="AF57" s="40"/>
      <c r="AJ57" s="32">
        <v>43955</v>
      </c>
      <c r="AK57" s="43">
        <f t="shared" si="48"/>
        <v>109.2228859707011</v>
      </c>
      <c r="AL57" s="43">
        <f t="shared" si="49"/>
        <v>142.74575969144945</v>
      </c>
      <c r="AM57" s="43">
        <f t="shared" si="50"/>
        <v>203.45494145147973</v>
      </c>
      <c r="AN57" s="43">
        <f t="shared" si="51"/>
        <v>183.30112271497197</v>
      </c>
      <c r="AO57" s="43">
        <f t="shared" si="52"/>
        <v>217.6551280096734</v>
      </c>
      <c r="AP57" s="43">
        <f t="shared" si="53"/>
        <v>148.81283041917735</v>
      </c>
      <c r="AQ57" s="43">
        <f t="shared" si="54"/>
        <v>173.54544955766187</v>
      </c>
      <c r="AR57" s="43">
        <f t="shared" si="55"/>
        <v>191.35461279299702</v>
      </c>
      <c r="AV57" s="31">
        <v>44287</v>
      </c>
      <c r="AW57" s="40">
        <f t="shared" si="56"/>
        <v>1.9757373571628545E-2</v>
      </c>
      <c r="AX57" s="40">
        <f t="shared" si="33"/>
        <v>2.1406617582400367E-2</v>
      </c>
      <c r="AY57" s="40">
        <f t="shared" si="34"/>
        <v>0.44863370521489898</v>
      </c>
      <c r="AZ57" s="40">
        <f t="shared" si="35"/>
        <v>0.48145899351290899</v>
      </c>
      <c r="BA57" s="40">
        <f t="shared" si="36"/>
        <v>0.55393765948810625</v>
      </c>
      <c r="BB57" s="40">
        <f t="shared" si="37"/>
        <v>6.1079796326538816E-2</v>
      </c>
      <c r="BC57" s="40">
        <f t="shared" si="38"/>
        <v>0.22251416848103078</v>
      </c>
      <c r="BD57" s="40">
        <f t="shared" si="39"/>
        <v>0.32412319655659139</v>
      </c>
      <c r="BH57" s="31">
        <v>44287</v>
      </c>
      <c r="BI57" s="40">
        <f t="shared" si="40"/>
        <v>0.13385947516298236</v>
      </c>
      <c r="BJ57" s="40">
        <f t="shared" si="41"/>
        <v>1.1281521496355322E-3</v>
      </c>
      <c r="BK57" s="40">
        <f t="shared" si="42"/>
        <v>0.13076303341958273</v>
      </c>
      <c r="BL57" s="40">
        <f t="shared" si="43"/>
        <v>0.23944640698532485</v>
      </c>
      <c r="BM57" s="40">
        <f t="shared" si="44"/>
        <v>0.25012489062284649</v>
      </c>
      <c r="BN57" s="40">
        <f t="shared" si="45"/>
        <v>1.2925310968652307E-2</v>
      </c>
      <c r="BO57" s="40">
        <f t="shared" si="46"/>
        <v>6.8291790934862068E-2</v>
      </c>
      <c r="BP57" s="40">
        <f t="shared" si="47"/>
        <v>8.5044995149626545E-2</v>
      </c>
    </row>
    <row r="58" spans="1:68" x14ac:dyDescent="0.2">
      <c r="A58" s="32">
        <v>43983</v>
      </c>
      <c r="B58" s="40">
        <v>2.07E-2</v>
      </c>
      <c r="C58" s="40">
        <v>2.0999999999999999E-3</v>
      </c>
      <c r="D58" s="40">
        <v>3.4599999999999999E-2</v>
      </c>
      <c r="E58" s="40">
        <v>8.8800000000000004E-2</v>
      </c>
      <c r="F58" s="40">
        <v>0.1389</v>
      </c>
      <c r="G58" s="40">
        <f>SUMPRODUCT($B58:$F58,Carteiras!$M$16:$Q$16)</f>
        <v>8.0600000000000012E-3</v>
      </c>
      <c r="H58" s="40">
        <f>SUMPRODUCT($B58:$F58,Carteiras!$M$17:$Q$17)</f>
        <v>4.1429999999999995E-2</v>
      </c>
      <c r="I58" s="40">
        <f>SUMPRODUCT($B58:$F58,Carteiras!$M$18:$Q$18)</f>
        <v>5.9084999999999999E-2</v>
      </c>
      <c r="M58" s="40"/>
      <c r="N58" s="40"/>
      <c r="O58" s="40"/>
      <c r="P58" s="40"/>
      <c r="Q58" s="40"/>
      <c r="R58" s="40"/>
      <c r="S58" s="40"/>
      <c r="T58" s="40"/>
      <c r="Y58" s="40"/>
      <c r="Z58" s="40"/>
      <c r="AA58" s="40"/>
      <c r="AB58" s="40"/>
      <c r="AC58" s="40"/>
      <c r="AD58" s="40"/>
      <c r="AE58" s="40"/>
      <c r="AF58" s="40"/>
      <c r="AJ58" s="32">
        <v>43983</v>
      </c>
      <c r="AK58" s="43">
        <f t="shared" si="48"/>
        <v>109.91099015231651</v>
      </c>
      <c r="AL58" s="43">
        <f t="shared" si="49"/>
        <v>143.08834951470891</v>
      </c>
      <c r="AM58" s="43">
        <f t="shared" si="50"/>
        <v>209.59928068331442</v>
      </c>
      <c r="AN58" s="43">
        <f t="shared" si="51"/>
        <v>199.77989364704797</v>
      </c>
      <c r="AO58" s="43">
        <f t="shared" si="52"/>
        <v>227.84138800052611</v>
      </c>
      <c r="AP58" s="43">
        <f t="shared" si="53"/>
        <v>150.02788717954994</v>
      </c>
      <c r="AQ58" s="43">
        <f t="shared" si="54"/>
        <v>178.1530812434178</v>
      </c>
      <c r="AR58" s="43">
        <f t="shared" si="55"/>
        <v>196.87040950675518</v>
      </c>
      <c r="AV58" s="31">
        <v>44319</v>
      </c>
      <c r="AW58" s="40">
        <f t="shared" si="56"/>
        <v>-3.0809945260950045E-2</v>
      </c>
      <c r="AX58" s="40">
        <f t="shared" si="33"/>
        <v>2.1712305915674746E-2</v>
      </c>
      <c r="AY58" s="40">
        <f t="shared" si="34"/>
        <v>0.35498295315965533</v>
      </c>
      <c r="AZ58" s="40">
        <f t="shared" si="35"/>
        <v>0.4406811516876159</v>
      </c>
      <c r="BA58" s="40">
        <f t="shared" si="36"/>
        <v>0.57813443427761357</v>
      </c>
      <c r="BB58" s="40">
        <f t="shared" si="37"/>
        <v>5.6280459044199871E-2</v>
      </c>
      <c r="BC58" s="40">
        <f t="shared" si="38"/>
        <v>0.20537717672764133</v>
      </c>
      <c r="BD58" s="40">
        <f t="shared" si="39"/>
        <v>0.29644573018286491</v>
      </c>
      <c r="BH58" s="31">
        <v>44319</v>
      </c>
      <c r="BI58" s="40">
        <f t="shared" si="40"/>
        <v>0.14133506288249917</v>
      </c>
      <c r="BJ58" s="40">
        <f t="shared" si="41"/>
        <v>1.3331439259407542E-3</v>
      </c>
      <c r="BK58" s="40">
        <f t="shared" si="42"/>
        <v>0.147626777566082</v>
      </c>
      <c r="BL58" s="40">
        <f t="shared" si="43"/>
        <v>0.23381041270847858</v>
      </c>
      <c r="BM58" s="40">
        <f t="shared" si="44"/>
        <v>0.2511603906235651</v>
      </c>
      <c r="BN58" s="40">
        <f t="shared" si="45"/>
        <v>1.2488480146264247E-2</v>
      </c>
      <c r="BO58" s="40">
        <f t="shared" si="46"/>
        <v>6.7622754978698491E-2</v>
      </c>
      <c r="BP58" s="40">
        <f t="shared" si="47"/>
        <v>8.6405961744546317E-2</v>
      </c>
    </row>
    <row r="59" spans="1:68" x14ac:dyDescent="0.2">
      <c r="A59" s="32">
        <v>44013</v>
      </c>
      <c r="B59" s="40">
        <v>-4.36E-2</v>
      </c>
      <c r="C59" s="40">
        <v>1.9E-3</v>
      </c>
      <c r="D59" s="40">
        <v>1.0800000000000001E-2</v>
      </c>
      <c r="E59" s="40">
        <v>8.3699999999999997E-2</v>
      </c>
      <c r="F59" s="40">
        <v>9.4600000000000004E-2</v>
      </c>
      <c r="G59" s="40">
        <f>SUMPRODUCT($B59:$F59,Carteiras!$M$16:$Q$16)</f>
        <v>6.4349999999999997E-3</v>
      </c>
      <c r="H59" s="40">
        <f>SUMPRODUCT($B59:$F59,Carteiras!$M$17:$Q$17)</f>
        <v>2.7134999999999999E-2</v>
      </c>
      <c r="I59" s="40">
        <f>SUMPRODUCT($B59:$F59,Carteiras!$M$18:$Q$18)</f>
        <v>3.1919999999999997E-2</v>
      </c>
      <c r="M59" s="40"/>
      <c r="N59" s="40"/>
      <c r="O59" s="40"/>
      <c r="P59" s="40"/>
      <c r="Q59" s="40"/>
      <c r="R59" s="40"/>
      <c r="S59" s="40"/>
      <c r="T59" s="40"/>
      <c r="Y59" s="40"/>
      <c r="Z59" s="40"/>
      <c r="AA59" s="40"/>
      <c r="AB59" s="40"/>
      <c r="AC59" s="40"/>
      <c r="AD59" s="40"/>
      <c r="AE59" s="40"/>
      <c r="AF59" s="40"/>
      <c r="AJ59" s="32">
        <v>44013</v>
      </c>
      <c r="AK59" s="43">
        <f t="shared" si="48"/>
        <v>112.18614764846946</v>
      </c>
      <c r="AL59" s="43">
        <f t="shared" si="49"/>
        <v>143.3888350486898</v>
      </c>
      <c r="AM59" s="43">
        <f t="shared" si="50"/>
        <v>216.85141579495709</v>
      </c>
      <c r="AN59" s="43">
        <f t="shared" si="51"/>
        <v>217.52034820290584</v>
      </c>
      <c r="AO59" s="43">
        <f t="shared" si="52"/>
        <v>259.48855679379921</v>
      </c>
      <c r="AP59" s="43">
        <f t="shared" si="53"/>
        <v>151.2371119502171</v>
      </c>
      <c r="AQ59" s="43">
        <f t="shared" si="54"/>
        <v>185.53396339933261</v>
      </c>
      <c r="AR59" s="43">
        <f t="shared" si="55"/>
        <v>208.50249765246181</v>
      </c>
      <c r="AV59" s="31">
        <v>44348</v>
      </c>
      <c r="AW59" s="40">
        <f t="shared" si="56"/>
        <v>-5.0465313276134238E-2</v>
      </c>
      <c r="AX59" s="40">
        <f t="shared" si="33"/>
        <v>1.9571206382272388E-2</v>
      </c>
      <c r="AY59" s="40">
        <f t="shared" si="34"/>
        <v>0.30966842563276176</v>
      </c>
      <c r="AZ59" s="40">
        <f t="shared" si="35"/>
        <v>0.32318254196143981</v>
      </c>
      <c r="BA59" s="40">
        <f t="shared" si="36"/>
        <v>0.38566549677549666</v>
      </c>
      <c r="BB59" s="40">
        <f t="shared" si="37"/>
        <v>4.783490967224191E-2</v>
      </c>
      <c r="BC59" s="40">
        <f t="shared" si="38"/>
        <v>0.15742505663140194</v>
      </c>
      <c r="BD59" s="40">
        <f t="shared" si="39"/>
        <v>0.22411867808803332</v>
      </c>
      <c r="BH59" s="31">
        <v>44348</v>
      </c>
      <c r="BI59" s="40"/>
      <c r="BJ59" s="40"/>
      <c r="BK59" s="40"/>
      <c r="BL59" s="40"/>
      <c r="BM59" s="40"/>
      <c r="BN59" s="40"/>
      <c r="BO59" s="40"/>
      <c r="BP59" s="40"/>
    </row>
    <row r="60" spans="1:68" x14ac:dyDescent="0.2">
      <c r="A60" s="32">
        <v>44046</v>
      </c>
      <c r="B60" s="40">
        <v>5.04E-2</v>
      </c>
      <c r="C60" s="40">
        <v>1.6000000000000001E-3</v>
      </c>
      <c r="D60" s="40">
        <v>0.1278</v>
      </c>
      <c r="E60" s="40">
        <v>-3.6200000000000003E-2</v>
      </c>
      <c r="F60" s="40">
        <v>-1.6899999999999998E-2</v>
      </c>
      <c r="G60" s="40">
        <f>SUMPRODUCT($B60:$F60,Carteiras!$M$16:$Q$16)</f>
        <v>6.0200000000000002E-3</v>
      </c>
      <c r="H60" s="40">
        <f>SUMPRODUCT($B60:$F60,Carteiras!$M$17:$Q$17)</f>
        <v>1.4525E-2</v>
      </c>
      <c r="I60" s="40">
        <f>SUMPRODUCT($B60:$F60,Carteiras!$M$18:$Q$18)</f>
        <v>3.6900000000000002E-2</v>
      </c>
      <c r="M60" s="40"/>
      <c r="N60" s="40"/>
      <c r="O60" s="40"/>
      <c r="P60" s="40"/>
      <c r="Q60" s="40"/>
      <c r="R60" s="40"/>
      <c r="S60" s="40"/>
      <c r="T60" s="40"/>
      <c r="Y60" s="40"/>
      <c r="Z60" s="40"/>
      <c r="AA60" s="40"/>
      <c r="AB60" s="40"/>
      <c r="AC60" s="40"/>
      <c r="AD60" s="40"/>
      <c r="AE60" s="40"/>
      <c r="AF60" s="40"/>
      <c r="AJ60" s="32">
        <v>44046</v>
      </c>
      <c r="AK60" s="43">
        <f t="shared" si="48"/>
        <v>107.2948316109962</v>
      </c>
      <c r="AL60" s="43">
        <f t="shared" si="49"/>
        <v>143.66127383528232</v>
      </c>
      <c r="AM60" s="43">
        <f t="shared" si="50"/>
        <v>219.19341108554261</v>
      </c>
      <c r="AN60" s="43">
        <f t="shared" si="51"/>
        <v>235.72680134748904</v>
      </c>
      <c r="AO60" s="43">
        <f t="shared" si="52"/>
        <v>284.03617426649259</v>
      </c>
      <c r="AP60" s="43">
        <f t="shared" si="53"/>
        <v>152.21032276561675</v>
      </c>
      <c r="AQ60" s="43">
        <f t="shared" si="54"/>
        <v>190.56842749617348</v>
      </c>
      <c r="AR60" s="43">
        <f t="shared" si="55"/>
        <v>215.15789737752837</v>
      </c>
      <c r="AV60" s="31">
        <v>44378</v>
      </c>
      <c r="AW60" s="40">
        <f t="shared" si="56"/>
        <v>-7.178286570613035E-3</v>
      </c>
      <c r="AX60" s="40">
        <f t="shared" si="33"/>
        <v>1.7637694762223877E-2</v>
      </c>
      <c r="AY60" s="40">
        <f t="shared" si="34"/>
        <v>0.29567513418357949</v>
      </c>
      <c r="AZ60" s="40">
        <f t="shared" si="35"/>
        <v>0.22098601269856966</v>
      </c>
      <c r="BA60" s="40">
        <f t="shared" si="36"/>
        <v>0.2659103752745271</v>
      </c>
      <c r="BB60" s="40">
        <f t="shared" si="37"/>
        <v>4.1135204630444955E-2</v>
      </c>
      <c r="BC60" s="40">
        <f t="shared" si="38"/>
        <v>0.12684803519634924</v>
      </c>
      <c r="BD60" s="40">
        <f t="shared" si="39"/>
        <v>0.18625346740835869</v>
      </c>
      <c r="BH60" s="31">
        <v>44378</v>
      </c>
      <c r="BI60" s="40"/>
      <c r="BJ60" s="40"/>
      <c r="BK60" s="40"/>
      <c r="BL60" s="40"/>
      <c r="BM60" s="40"/>
      <c r="BN60" s="40"/>
      <c r="BO60" s="40"/>
      <c r="BP60" s="40"/>
    </row>
    <row r="61" spans="1:68" x14ac:dyDescent="0.2">
      <c r="A61" s="32">
        <v>44075</v>
      </c>
      <c r="B61" s="40">
        <v>2.1499999999999998E-2</v>
      </c>
      <c r="C61" s="40">
        <v>1.6000000000000001E-3</v>
      </c>
      <c r="D61" s="40">
        <v>-1.5299999999999999E-2</v>
      </c>
      <c r="E61" s="40">
        <v>-4.8599999999999997E-2</v>
      </c>
      <c r="F61" s="40">
        <v>-4.87E-2</v>
      </c>
      <c r="G61" s="40">
        <f>SUMPRODUCT($B61:$F61,Carteiras!$M$16:$Q$16)</f>
        <v>-1.7549999999999998E-3</v>
      </c>
      <c r="H61" s="40">
        <f>SUMPRODUCT($B61:$F61,Carteiras!$M$17:$Q$17)</f>
        <v>-1.5015000000000001E-2</v>
      </c>
      <c r="I61" s="40">
        <f>SUMPRODUCT($B61:$F61,Carteiras!$M$18:$Q$18)</f>
        <v>-1.908E-2</v>
      </c>
      <c r="M61" s="40"/>
      <c r="N61" s="40"/>
      <c r="O61" s="40"/>
      <c r="P61" s="40"/>
      <c r="Q61" s="40"/>
      <c r="R61" s="40"/>
      <c r="S61" s="40"/>
      <c r="T61" s="40"/>
      <c r="Y61" s="40"/>
      <c r="Z61" s="40"/>
      <c r="AA61" s="40"/>
      <c r="AB61" s="40"/>
      <c r="AC61" s="40"/>
      <c r="AD61" s="40"/>
      <c r="AE61" s="40"/>
      <c r="AF61" s="40"/>
      <c r="AJ61" s="32">
        <v>44075</v>
      </c>
      <c r="AK61" s="43">
        <f t="shared" si="48"/>
        <v>112.7024911241904</v>
      </c>
      <c r="AL61" s="43">
        <f t="shared" si="49"/>
        <v>143.89113187341877</v>
      </c>
      <c r="AM61" s="43">
        <f t="shared" si="50"/>
        <v>247.20632902227493</v>
      </c>
      <c r="AN61" s="43">
        <f t="shared" si="51"/>
        <v>227.19349113870993</v>
      </c>
      <c r="AO61" s="43">
        <f t="shared" si="52"/>
        <v>279.23596292138888</v>
      </c>
      <c r="AP61" s="43">
        <f t="shared" si="53"/>
        <v>153.12662890866577</v>
      </c>
      <c r="AQ61" s="43">
        <f t="shared" si="54"/>
        <v>193.3364339055554</v>
      </c>
      <c r="AR61" s="43">
        <f t="shared" si="55"/>
        <v>223.09722379075916</v>
      </c>
      <c r="AV61" s="31">
        <v>44409</v>
      </c>
      <c r="AW61" s="40">
        <f t="shared" si="56"/>
        <v>-5.481558127438424E-2</v>
      </c>
      <c r="AX61" s="40">
        <f t="shared" si="33"/>
        <v>1.6012075441517171E-2</v>
      </c>
      <c r="AY61" s="40">
        <f t="shared" si="34"/>
        <v>0.14885186574177989</v>
      </c>
      <c r="AZ61" s="40">
        <f t="shared" si="35"/>
        <v>0.2668458318100948</v>
      </c>
      <c r="BA61" s="40">
        <f t="shared" si="36"/>
        <v>0.28767203262590479</v>
      </c>
      <c r="BB61" s="40">
        <f t="shared" si="37"/>
        <v>3.4905076072488939E-2</v>
      </c>
      <c r="BC61" s="40">
        <f t="shared" si="38"/>
        <v>0.11071490125561168</v>
      </c>
      <c r="BD61" s="40">
        <f t="shared" si="39"/>
        <v>0.14403844865306037</v>
      </c>
      <c r="BH61" s="31">
        <v>44409</v>
      </c>
      <c r="BI61" s="40"/>
      <c r="BJ61" s="40"/>
      <c r="BK61" s="40"/>
      <c r="BL61" s="40"/>
      <c r="BM61" s="40"/>
      <c r="BN61" s="40"/>
      <c r="BO61" s="40"/>
      <c r="BP61" s="40"/>
    </row>
    <row r="62" spans="1:68" x14ac:dyDescent="0.2">
      <c r="A62" s="32">
        <v>44105</v>
      </c>
      <c r="B62" s="40">
        <v>2.6700000000000002E-2</v>
      </c>
      <c r="C62" s="40">
        <v>1.6000000000000001E-3</v>
      </c>
      <c r="D62" s="40">
        <v>-6.7999999999999996E-3</v>
      </c>
      <c r="E62" s="40">
        <v>-4.3E-3</v>
      </c>
      <c r="F62" s="40">
        <v>-2.3099999999999999E-2</v>
      </c>
      <c r="G62" s="40">
        <f>SUMPRODUCT($B62:$F62,Carteiras!$M$16:$Q$16)</f>
        <v>8.8500000000000004E-4</v>
      </c>
      <c r="H62" s="40">
        <f>SUMPRODUCT($B62:$F62,Carteiras!$M$17:$Q$17)</f>
        <v>-2.9949999999999994E-3</v>
      </c>
      <c r="I62" s="40">
        <f>SUMPRODUCT($B62:$F62,Carteiras!$M$18:$Q$18)</f>
        <v>-6.1149999999999989E-3</v>
      </c>
      <c r="M62" s="40"/>
      <c r="N62" s="40"/>
      <c r="O62" s="40"/>
      <c r="P62" s="40"/>
      <c r="Q62" s="40"/>
      <c r="R62" s="40"/>
      <c r="S62" s="40"/>
      <c r="T62" s="40"/>
      <c r="Y62" s="40"/>
      <c r="Z62" s="40"/>
      <c r="AA62" s="40"/>
      <c r="AB62" s="40"/>
      <c r="AC62" s="40"/>
      <c r="AD62" s="40"/>
      <c r="AE62" s="40"/>
      <c r="AF62" s="40"/>
      <c r="AJ62" s="32">
        <v>44105</v>
      </c>
      <c r="AK62" s="43">
        <f t="shared" si="48"/>
        <v>115.1255946833605</v>
      </c>
      <c r="AL62" s="43">
        <f t="shared" si="49"/>
        <v>144.12135768441624</v>
      </c>
      <c r="AM62" s="43">
        <f t="shared" si="50"/>
        <v>243.42407218823413</v>
      </c>
      <c r="AN62" s="43">
        <f t="shared" si="51"/>
        <v>216.15188746936863</v>
      </c>
      <c r="AO62" s="43">
        <f t="shared" si="52"/>
        <v>265.63717152711723</v>
      </c>
      <c r="AP62" s="43">
        <f t="shared" si="53"/>
        <v>152.85789167493107</v>
      </c>
      <c r="AQ62" s="43">
        <f t="shared" si="54"/>
        <v>190.43348735046348</v>
      </c>
      <c r="AR62" s="43">
        <f t="shared" si="55"/>
        <v>218.84052876083149</v>
      </c>
      <c r="AV62" s="31">
        <v>44440</v>
      </c>
      <c r="AW62" s="40">
        <f t="shared" si="56"/>
        <v>-7.4709330665084894E-2</v>
      </c>
      <c r="AX62" s="40">
        <f t="shared" si="33"/>
        <v>1.4389052956786719E-2</v>
      </c>
      <c r="AY62" s="40">
        <f t="shared" si="34"/>
        <v>0.16670241265540731</v>
      </c>
      <c r="AZ62" s="40">
        <f t="shared" si="35"/>
        <v>0.33155962981931397</v>
      </c>
      <c r="BA62" s="40">
        <f t="shared" si="36"/>
        <v>0.35359196113308622</v>
      </c>
      <c r="BB62" s="40">
        <f t="shared" si="37"/>
        <v>3.6724527618458902E-2</v>
      </c>
      <c r="BC62" s="40">
        <f t="shared" si="38"/>
        <v>0.12764651365818902</v>
      </c>
      <c r="BD62" s="40">
        <f t="shared" si="39"/>
        <v>0.16629128639752544</v>
      </c>
      <c r="BH62" s="31">
        <v>44440</v>
      </c>
      <c r="BI62" s="40"/>
      <c r="BJ62" s="40"/>
      <c r="BK62" s="40"/>
      <c r="BL62" s="40"/>
      <c r="BM62" s="40"/>
      <c r="BN62" s="40"/>
      <c r="BO62" s="40"/>
      <c r="BP62" s="40"/>
    </row>
    <row r="63" spans="1:68" x14ac:dyDescent="0.2">
      <c r="A63" s="32">
        <v>44138</v>
      </c>
      <c r="B63" s="40">
        <v>-7.3599999999999999E-2</v>
      </c>
      <c r="C63" s="40">
        <v>1.5E-3</v>
      </c>
      <c r="D63" s="40">
        <v>3.6499999999999998E-2</v>
      </c>
      <c r="E63" s="40">
        <v>0.15820000000000001</v>
      </c>
      <c r="F63" s="40">
        <v>0.17530000000000001</v>
      </c>
      <c r="G63" s="40">
        <f>SUMPRODUCT($B63:$F63,Carteiras!$M$16:$Q$16)</f>
        <v>1.1085000000000001E-2</v>
      </c>
      <c r="H63" s="40">
        <f>SUMPRODUCT($B63:$F63,Carteiras!$M$17:$Q$17)</f>
        <v>5.2570000000000006E-2</v>
      </c>
      <c r="I63" s="40">
        <f>SUMPRODUCT($B63:$F63,Carteiras!$M$18:$Q$18)</f>
        <v>6.4465000000000008E-2</v>
      </c>
      <c r="M63" s="40"/>
      <c r="N63" s="40"/>
      <c r="O63" s="40"/>
      <c r="P63" s="40"/>
      <c r="Q63" s="40"/>
      <c r="R63" s="40"/>
      <c r="S63" s="40"/>
      <c r="T63" s="40"/>
      <c r="Y63" s="40"/>
      <c r="Z63" s="40"/>
      <c r="AA63" s="40"/>
      <c r="AB63" s="40"/>
      <c r="AC63" s="40"/>
      <c r="AD63" s="40"/>
      <c r="AE63" s="40"/>
      <c r="AF63" s="40"/>
      <c r="AJ63" s="32">
        <v>44138</v>
      </c>
      <c r="AK63" s="43">
        <f t="shared" si="48"/>
        <v>118.19944806140623</v>
      </c>
      <c r="AL63" s="43">
        <f t="shared" si="49"/>
        <v>144.35195185671131</v>
      </c>
      <c r="AM63" s="43">
        <f t="shared" si="50"/>
        <v>241.76878849735414</v>
      </c>
      <c r="AN63" s="43">
        <f t="shared" si="51"/>
        <v>215.22243435325035</v>
      </c>
      <c r="AO63" s="43">
        <f t="shared" si="52"/>
        <v>259.50095286484083</v>
      </c>
      <c r="AP63" s="43">
        <f t="shared" si="53"/>
        <v>152.99317090906339</v>
      </c>
      <c r="AQ63" s="43">
        <f t="shared" si="54"/>
        <v>189.86313905584885</v>
      </c>
      <c r="AR63" s="43">
        <f t="shared" si="55"/>
        <v>217.50231892745902</v>
      </c>
      <c r="AV63" s="31">
        <v>44470</v>
      </c>
      <c r="AW63" s="40">
        <f t="shared" si="56"/>
        <v>-9.8772115189524334E-2</v>
      </c>
      <c r="AX63" s="40">
        <f t="shared" si="33"/>
        <v>1.2768623159731041E-2</v>
      </c>
      <c r="AY63" s="40">
        <f t="shared" si="34"/>
        <v>0.17469030674124797</v>
      </c>
      <c r="AZ63" s="40">
        <f t="shared" si="35"/>
        <v>0.33731006309060341</v>
      </c>
      <c r="BA63" s="40">
        <f t="shared" si="36"/>
        <v>0.38559930508044427</v>
      </c>
      <c r="BB63" s="40">
        <f t="shared" si="37"/>
        <v>3.5807837682110266E-2</v>
      </c>
      <c r="BC63" s="40">
        <f t="shared" si="38"/>
        <v>0.13103396036949588</v>
      </c>
      <c r="BD63" s="40">
        <f t="shared" si="39"/>
        <v>0.17346703733080338</v>
      </c>
      <c r="BH63" s="31">
        <v>44470</v>
      </c>
      <c r="BI63" s="40"/>
      <c r="BJ63" s="40"/>
      <c r="BK63" s="40"/>
      <c r="BL63" s="40"/>
      <c r="BM63" s="40"/>
      <c r="BN63" s="40"/>
      <c r="BO63" s="40"/>
      <c r="BP63" s="40"/>
    </row>
    <row r="64" spans="1:68" x14ac:dyDescent="0.2">
      <c r="A64" s="32">
        <v>44166</v>
      </c>
      <c r="B64" s="40">
        <v>-2.4899999999999999E-2</v>
      </c>
      <c r="C64" s="40">
        <v>1.6000000000000001E-3</v>
      </c>
      <c r="D64" s="40">
        <v>2.0000000000000001E-4</v>
      </c>
      <c r="E64" s="40">
        <v>9.1899999999999996E-2</v>
      </c>
      <c r="F64" s="40">
        <v>6.7900000000000002E-2</v>
      </c>
      <c r="G64" s="40">
        <f>SUMPRODUCT($B64:$F64,Carteiras!$M$16:$Q$16)</f>
        <v>6.045E-3</v>
      </c>
      <c r="H64" s="40">
        <f>SUMPRODUCT($B64:$F64,Carteiras!$M$17:$Q$17)</f>
        <v>2.3555E-2</v>
      </c>
      <c r="I64" s="40">
        <f>SUMPRODUCT($B64:$F64,Carteiras!$M$18:$Q$18)</f>
        <v>2.2935000000000001E-2</v>
      </c>
      <c r="M64" s="40"/>
      <c r="N64" s="40"/>
      <c r="O64" s="40"/>
      <c r="P64" s="40"/>
      <c r="Q64" s="40"/>
      <c r="R64" s="40"/>
      <c r="S64" s="40"/>
      <c r="T64" s="40"/>
      <c r="Y64" s="40"/>
      <c r="Z64" s="40"/>
      <c r="AA64" s="40"/>
      <c r="AB64" s="40"/>
      <c r="AC64" s="40"/>
      <c r="AD64" s="40"/>
      <c r="AE64" s="40"/>
      <c r="AF64" s="40"/>
      <c r="AJ64" s="32">
        <v>44166</v>
      </c>
      <c r="AK64" s="43">
        <f t="shared" si="48"/>
        <v>109.49996868408674</v>
      </c>
      <c r="AL64" s="43">
        <f t="shared" si="49"/>
        <v>144.56847978449639</v>
      </c>
      <c r="AM64" s="43">
        <f t="shared" si="50"/>
        <v>250.59334927750757</v>
      </c>
      <c r="AN64" s="43">
        <f t="shared" si="51"/>
        <v>249.27062346793454</v>
      </c>
      <c r="AO64" s="43">
        <f t="shared" si="52"/>
        <v>304.99146990204741</v>
      </c>
      <c r="AP64" s="43">
        <f t="shared" si="53"/>
        <v>154.68910020859036</v>
      </c>
      <c r="AQ64" s="43">
        <f t="shared" si="54"/>
        <v>199.84424427601482</v>
      </c>
      <c r="AR64" s="43">
        <f t="shared" si="55"/>
        <v>231.52360591711766</v>
      </c>
      <c r="AV64" s="31">
        <v>44501</v>
      </c>
      <c r="AW64" s="40">
        <f t="shared" si="56"/>
        <v>-2.7171972354840368E-2</v>
      </c>
      <c r="AX64" s="40">
        <f t="shared" si="33"/>
        <v>1.1251745541418945E-2</v>
      </c>
      <c r="AY64" s="40">
        <f t="shared" si="34"/>
        <v>0.13332398141943824</v>
      </c>
      <c r="AZ64" s="40">
        <f t="shared" si="35"/>
        <v>0.15464519348178518</v>
      </c>
      <c r="BA64" s="40">
        <f t="shared" si="36"/>
        <v>0.17893244710324541</v>
      </c>
      <c r="BB64" s="40">
        <f t="shared" si="37"/>
        <v>2.4451789594455597E-2</v>
      </c>
      <c r="BC64" s="40">
        <f t="shared" si="38"/>
        <v>7.4545123240730593E-2</v>
      </c>
      <c r="BD64" s="40">
        <f t="shared" si="39"/>
        <v>0.10240077159023842</v>
      </c>
      <c r="BH64" s="31">
        <v>44501</v>
      </c>
      <c r="BI64" s="40"/>
      <c r="BJ64" s="40"/>
      <c r="BK64" s="40"/>
      <c r="BL64" s="40"/>
      <c r="BM64" s="40"/>
      <c r="BN64" s="40"/>
      <c r="BO64" s="40"/>
      <c r="BP64" s="40"/>
    </row>
    <row r="65" spans="1:68" x14ac:dyDescent="0.2">
      <c r="A65" s="32">
        <v>44200</v>
      </c>
      <c r="B65" s="40">
        <v>4.9799999999999997E-2</v>
      </c>
      <c r="C65" s="40">
        <v>1.5E-3</v>
      </c>
      <c r="D65" s="40">
        <v>4.7399999999999998E-2</v>
      </c>
      <c r="E65" s="40">
        <v>-3.5700000000000003E-2</v>
      </c>
      <c r="F65" s="40">
        <v>-3.9199999999999999E-2</v>
      </c>
      <c r="G65" s="40">
        <f>SUMPRODUCT($B65:$F65,Carteiras!$M$16:$Q$16)</f>
        <v>1.9350000000000001E-3</v>
      </c>
      <c r="H65" s="40">
        <f>SUMPRODUCT($B65:$F65,Carteiras!$M$17:$Q$17)</f>
        <v>-8.850000000000021E-4</v>
      </c>
      <c r="I65" s="40">
        <f>SUMPRODUCT($B65:$F65,Carteiras!$M$18:$Q$18)</f>
        <v>6.0300000000000006E-3</v>
      </c>
      <c r="M65" s="40"/>
      <c r="N65" s="40"/>
      <c r="O65" s="40"/>
      <c r="P65" s="40"/>
      <c r="Q65" s="40"/>
      <c r="R65" s="40"/>
      <c r="S65" s="40"/>
      <c r="T65" s="40"/>
      <c r="Y65" s="40"/>
      <c r="Z65" s="40"/>
      <c r="AA65" s="40"/>
      <c r="AB65" s="40"/>
      <c r="AC65" s="40"/>
      <c r="AD65" s="40"/>
      <c r="AE65" s="40"/>
      <c r="AF65" s="40"/>
      <c r="AJ65" s="32">
        <v>44200</v>
      </c>
      <c r="AK65" s="43">
        <f t="shared" si="48"/>
        <v>106.77341946385297</v>
      </c>
      <c r="AL65" s="43">
        <f t="shared" si="49"/>
        <v>144.79978935215158</v>
      </c>
      <c r="AM65" s="43">
        <f t="shared" si="50"/>
        <v>250.64346794736306</v>
      </c>
      <c r="AN65" s="43">
        <f t="shared" si="51"/>
        <v>272.17859376463775</v>
      </c>
      <c r="AO65" s="43">
        <f t="shared" si="52"/>
        <v>325.70039070839647</v>
      </c>
      <c r="AP65" s="43">
        <f t="shared" si="53"/>
        <v>155.62419581935131</v>
      </c>
      <c r="AQ65" s="43">
        <f t="shared" si="54"/>
        <v>204.55157544993634</v>
      </c>
      <c r="AR65" s="43">
        <f t="shared" si="55"/>
        <v>236.83359981882674</v>
      </c>
      <c r="AV65" s="31">
        <v>44531</v>
      </c>
      <c r="AW65" s="40">
        <f t="shared" si="56"/>
        <v>-2.3299890830075221E-3</v>
      </c>
      <c r="AX65" s="40">
        <f t="shared" si="33"/>
        <v>9.6363274175506053E-3</v>
      </c>
      <c r="AY65" s="40">
        <f t="shared" si="34"/>
        <v>0.13309736194704902</v>
      </c>
      <c r="AZ65" s="40">
        <f t="shared" si="35"/>
        <v>5.7464230682099826E-2</v>
      </c>
      <c r="BA65" s="40">
        <f t="shared" si="36"/>
        <v>0.10397270072408005</v>
      </c>
      <c r="BB65" s="40">
        <f t="shared" si="37"/>
        <v>1.8296189131157714E-2</v>
      </c>
      <c r="BC65" s="40">
        <f t="shared" si="38"/>
        <v>4.9816691082287257E-2</v>
      </c>
      <c r="BD65" s="40">
        <f t="shared" si="39"/>
        <v>7.7684087053663031E-2</v>
      </c>
      <c r="BH65" s="31">
        <v>44531</v>
      </c>
      <c r="BI65" s="40"/>
      <c r="BJ65" s="40"/>
      <c r="BK65" s="40"/>
      <c r="BL65" s="40"/>
      <c r="BM65" s="40"/>
      <c r="BN65" s="40"/>
      <c r="BO65" s="40"/>
      <c r="BP65" s="40"/>
    </row>
    <row r="66" spans="1:68" x14ac:dyDescent="0.2">
      <c r="A66" s="32">
        <v>44228</v>
      </c>
      <c r="B66" s="40">
        <v>2.5600000000000001E-2</v>
      </c>
      <c r="C66" s="40">
        <v>1.2999999999999999E-3</v>
      </c>
      <c r="D66" s="40">
        <v>0.05</v>
      </c>
      <c r="E66" s="40">
        <v>-4.4999999999999998E-2</v>
      </c>
      <c r="F66" s="40">
        <v>-2.18E-2</v>
      </c>
      <c r="G66" s="40">
        <f>SUMPRODUCT($B66:$F66,Carteiras!$M$16:$Q$16)</f>
        <v>1.4200000000000007E-3</v>
      </c>
      <c r="H66" s="40">
        <f>SUMPRODUCT($B66:$F66,Carteiras!$M$17:$Q$17)</f>
        <v>-5.9000000000000068E-4</v>
      </c>
      <c r="I66" s="40">
        <f>SUMPRODUCT($B66:$F66,Carteiras!$M$18:$Q$18)</f>
        <v>9.0949999999999989E-3</v>
      </c>
      <c r="M66" s="40"/>
      <c r="N66" s="40"/>
      <c r="O66" s="40"/>
      <c r="P66" s="40"/>
      <c r="Q66" s="40"/>
      <c r="R66" s="40"/>
      <c r="S66" s="40"/>
      <c r="T66" s="40"/>
      <c r="Y66" s="40"/>
      <c r="Z66" s="40"/>
      <c r="AA66" s="40"/>
      <c r="AB66" s="40"/>
      <c r="AC66" s="40"/>
      <c r="AD66" s="40"/>
      <c r="AE66" s="40"/>
      <c r="AF66" s="40"/>
      <c r="AJ66" s="32">
        <v>44228</v>
      </c>
      <c r="AK66" s="43">
        <f t="shared" si="48"/>
        <v>112.09073575315286</v>
      </c>
      <c r="AL66" s="43">
        <f t="shared" si="49"/>
        <v>145.01698903617981</v>
      </c>
      <c r="AM66" s="43">
        <f t="shared" si="50"/>
        <v>262.52396832806812</v>
      </c>
      <c r="AN66" s="43">
        <f t="shared" si="51"/>
        <v>262.46181796724022</v>
      </c>
      <c r="AO66" s="43">
        <f t="shared" si="52"/>
        <v>312.93293539262731</v>
      </c>
      <c r="AP66" s="43">
        <f t="shared" si="53"/>
        <v>155.92532863826176</v>
      </c>
      <c r="AQ66" s="43">
        <f t="shared" si="54"/>
        <v>204.37054730566314</v>
      </c>
      <c r="AR66" s="43">
        <f t="shared" si="55"/>
        <v>238.26170642573427</v>
      </c>
      <c r="BH66" s="31"/>
    </row>
    <row r="67" spans="1:68" x14ac:dyDescent="0.2">
      <c r="A67" s="32">
        <v>44256</v>
      </c>
      <c r="B67" s="40">
        <v>3.8999999999999998E-3</v>
      </c>
      <c r="C67" s="40">
        <v>2E-3</v>
      </c>
      <c r="D67" s="40">
        <v>5.28E-2</v>
      </c>
      <c r="E67" s="40">
        <v>6.0900000000000003E-2</v>
      </c>
      <c r="F67" s="40">
        <v>5.5E-2</v>
      </c>
      <c r="G67" s="40">
        <f>SUMPRODUCT($B67:$F67,Carteiras!$M$16:$Q$16)</f>
        <v>7.4850000000000003E-3</v>
      </c>
      <c r="H67" s="40">
        <f>SUMPRODUCT($B67:$F67,Carteiras!$M$17:$Q$17)</f>
        <v>2.6500000000000003E-2</v>
      </c>
      <c r="I67" s="40">
        <f>SUMPRODUCT($B67:$F67,Carteiras!$M$18:$Q$18)</f>
        <v>3.6275000000000002E-2</v>
      </c>
      <c r="M67" s="40"/>
      <c r="N67" s="40"/>
      <c r="O67" s="40"/>
      <c r="P67" s="40"/>
      <c r="Q67" s="40"/>
      <c r="R67" s="40"/>
      <c r="S67" s="40"/>
      <c r="T67" s="40"/>
      <c r="Y67" s="40"/>
      <c r="Z67" s="40"/>
      <c r="AA67" s="40"/>
      <c r="AB67" s="40"/>
      <c r="AC67" s="40"/>
      <c r="AD67" s="40"/>
      <c r="AE67" s="40"/>
      <c r="AF67" s="40"/>
      <c r="AJ67" s="32">
        <v>44256</v>
      </c>
      <c r="AK67" s="43">
        <f t="shared" si="48"/>
        <v>114.96025858843358</v>
      </c>
      <c r="AL67" s="43">
        <f t="shared" si="49"/>
        <v>145.20551112192686</v>
      </c>
      <c r="AM67" s="43">
        <f t="shared" si="50"/>
        <v>275.65016674447156</v>
      </c>
      <c r="AN67" s="43">
        <f t="shared" si="51"/>
        <v>250.65103615871439</v>
      </c>
      <c r="AO67" s="43">
        <f t="shared" si="52"/>
        <v>306.110997401068</v>
      </c>
      <c r="AP67" s="43">
        <f t="shared" si="53"/>
        <v>156.14674260492808</v>
      </c>
      <c r="AQ67" s="43">
        <f t="shared" si="54"/>
        <v>204.24996868275281</v>
      </c>
      <c r="AR67" s="43">
        <f t="shared" si="55"/>
        <v>240.42869664567635</v>
      </c>
      <c r="BH67" s="31"/>
    </row>
    <row r="68" spans="1:68" x14ac:dyDescent="0.2">
      <c r="A68" s="32">
        <v>44287</v>
      </c>
      <c r="B68" s="40">
        <v>-3.49E-2</v>
      </c>
      <c r="C68" s="40">
        <v>2.0999999999999999E-3</v>
      </c>
      <c r="D68" s="40">
        <v>1.5599999999999999E-2</v>
      </c>
      <c r="E68" s="40">
        <v>2.12E-2</v>
      </c>
      <c r="F68" s="40">
        <v>4.7300000000000002E-2</v>
      </c>
      <c r="G68" s="40">
        <f>SUMPRODUCT($B68:$F68,Carteiras!$M$16:$Q$16)</f>
        <v>3.7299999999999998E-3</v>
      </c>
      <c r="H68" s="40">
        <f>SUMPRODUCT($B68:$F68,Carteiras!$M$17:$Q$17)</f>
        <v>1.192E-2</v>
      </c>
      <c r="I68" s="40">
        <f>SUMPRODUCT($B68:$F68,Carteiras!$M$18:$Q$18)</f>
        <v>1.6964999999999997E-2</v>
      </c>
      <c r="M68" s="40"/>
      <c r="N68" s="40"/>
      <c r="O68" s="40"/>
      <c r="P68" s="40"/>
      <c r="Q68" s="40"/>
      <c r="R68" s="40"/>
      <c r="S68" s="40"/>
      <c r="T68" s="40"/>
      <c r="Y68" s="40"/>
      <c r="Z68" s="40"/>
      <c r="AA68" s="40"/>
      <c r="AB68" s="40"/>
      <c r="AC68" s="40"/>
      <c r="AD68" s="40"/>
      <c r="AE68" s="40"/>
      <c r="AF68" s="40"/>
      <c r="AJ68" s="32">
        <v>44287</v>
      </c>
      <c r="AK68" s="43">
        <f t="shared" si="48"/>
        <v>115.40860359692847</v>
      </c>
      <c r="AL68" s="43">
        <f t="shared" si="49"/>
        <v>145.49592214417072</v>
      </c>
      <c r="AM68" s="43">
        <f t="shared" si="50"/>
        <v>290.20449554857964</v>
      </c>
      <c r="AN68" s="43">
        <f t="shared" si="51"/>
        <v>265.9156842607801</v>
      </c>
      <c r="AO68" s="43">
        <f t="shared" si="52"/>
        <v>322.94710225812673</v>
      </c>
      <c r="AP68" s="43">
        <f t="shared" si="53"/>
        <v>157.31550097332595</v>
      </c>
      <c r="AQ68" s="43">
        <f t="shared" si="54"/>
        <v>209.66259285284576</v>
      </c>
      <c r="AR68" s="43">
        <f t="shared" si="55"/>
        <v>249.15024761649829</v>
      </c>
      <c r="BH68" s="31"/>
    </row>
    <row r="69" spans="1:68" x14ac:dyDescent="0.2">
      <c r="A69" s="32">
        <v>44319</v>
      </c>
      <c r="B69" s="40">
        <v>-4.36E-2</v>
      </c>
      <c r="C69" s="40">
        <v>2.7000000000000001E-3</v>
      </c>
      <c r="D69" s="40">
        <v>-3.6400000000000002E-2</v>
      </c>
      <c r="E69" s="40">
        <v>5.9900000000000002E-2</v>
      </c>
      <c r="F69" s="40">
        <v>6.3100000000000003E-2</v>
      </c>
      <c r="G69" s="40">
        <f>SUMPRODUCT($B69:$F69,Carteiras!$M$16:$Q$16)</f>
        <v>3.6050000000000006E-3</v>
      </c>
      <c r="H69" s="40">
        <f>SUMPRODUCT($B69:$F69,Carteiras!$M$17:$Q$17)</f>
        <v>1.2159999999999999E-2</v>
      </c>
      <c r="I69" s="40">
        <f>SUMPRODUCT($B69:$F69,Carteiras!$M$18:$Q$18)</f>
        <v>7.3200000000000001E-3</v>
      </c>
      <c r="M69" s="40"/>
      <c r="N69" s="40"/>
      <c r="O69" s="40"/>
      <c r="P69" s="40"/>
      <c r="Q69" s="40"/>
      <c r="R69" s="40"/>
      <c r="S69" s="40"/>
      <c r="T69" s="40"/>
      <c r="Y69" s="40"/>
      <c r="Z69" s="40"/>
      <c r="AA69" s="40"/>
      <c r="AB69" s="40"/>
      <c r="AC69" s="40"/>
      <c r="AD69" s="40"/>
      <c r="AE69" s="40"/>
      <c r="AF69" s="40"/>
      <c r="AJ69" s="32">
        <v>44319</v>
      </c>
      <c r="AK69" s="43">
        <f t="shared" si="48"/>
        <v>111.38084333139567</v>
      </c>
      <c r="AL69" s="43">
        <f t="shared" si="49"/>
        <v>145.80146358067347</v>
      </c>
      <c r="AM69" s="43">
        <f t="shared" si="50"/>
        <v>294.73168567913751</v>
      </c>
      <c r="AN69" s="43">
        <f t="shared" si="51"/>
        <v>271.55309676710868</v>
      </c>
      <c r="AO69" s="43">
        <f t="shared" si="52"/>
        <v>338.22250019493612</v>
      </c>
      <c r="AP69" s="43">
        <f t="shared" si="53"/>
        <v>157.90228779195647</v>
      </c>
      <c r="AQ69" s="43">
        <f t="shared" si="54"/>
        <v>212.16177095965168</v>
      </c>
      <c r="AR69" s="43">
        <f t="shared" si="55"/>
        <v>253.37708156731216</v>
      </c>
      <c r="BH69" s="31"/>
    </row>
    <row r="70" spans="1:68" x14ac:dyDescent="0.2">
      <c r="A70" s="32">
        <v>44348</v>
      </c>
      <c r="B70" s="40"/>
      <c r="C70" s="40"/>
      <c r="D70" s="40"/>
      <c r="E70" s="40"/>
      <c r="F70" s="40"/>
      <c r="G70" s="40"/>
      <c r="H70" s="40"/>
      <c r="I70" s="40"/>
      <c r="M70" s="40"/>
      <c r="N70" s="40"/>
      <c r="O70" s="40"/>
      <c r="P70" s="40"/>
      <c r="Q70" s="40"/>
      <c r="R70" s="40"/>
      <c r="S70" s="40"/>
      <c r="T70" s="40"/>
      <c r="Y70" s="40"/>
      <c r="Z70" s="40"/>
      <c r="AA70" s="40"/>
      <c r="AB70" s="40"/>
      <c r="AC70" s="40"/>
      <c r="AD70" s="40"/>
      <c r="AE70" s="40"/>
      <c r="AF70" s="40"/>
      <c r="AJ70" s="32">
        <v>44348</v>
      </c>
      <c r="AK70" s="43"/>
      <c r="AL70" s="43"/>
      <c r="AM70" s="43"/>
      <c r="AN70" s="43"/>
      <c r="AO70" s="43"/>
      <c r="AP70" s="43"/>
      <c r="AQ70" s="43"/>
      <c r="AR70" s="43"/>
      <c r="AV70" s="44" t="s">
        <v>4</v>
      </c>
      <c r="AW70" s="40">
        <f>MAX(tbl_ret12M[DÓLAR])</f>
        <v>0.46435533804273144</v>
      </c>
      <c r="AX70" s="40">
        <f>MAX(tbl_ret12M[CDI])</f>
        <v>0.13701780132311647</v>
      </c>
      <c r="AY70" s="40">
        <f>MAX(tbl_ret12M[IVVB11])</f>
        <v>0.68170454750725273</v>
      </c>
      <c r="AZ70" s="40">
        <f>MAX(tbl_ret12M[BOVA11])</f>
        <v>0.61506883810998958</v>
      </c>
      <c r="BA70" s="40">
        <f>MAX(tbl_ret12M[SMAL11])</f>
        <v>0.70453889355479515</v>
      </c>
      <c r="BB70" s="40">
        <f>MAX(tbl_ret12M[Conservadora])</f>
        <v>0.14836626638441297</v>
      </c>
      <c r="BC70" s="40">
        <f>MAX(tbl_ret12M[Moderada])</f>
        <v>0.29292906126891616</v>
      </c>
      <c r="BD70" s="40">
        <f>MAX(tbl_ret12M[Agressiva])</f>
        <v>0.44523841659237884</v>
      </c>
      <c r="BH70" s="44" t="s">
        <v>4</v>
      </c>
      <c r="BI70" s="40">
        <f>MAX(tbl_risco12M[DÓLAR])</f>
        <v>0.21394468274001871</v>
      </c>
      <c r="BJ70" s="40">
        <f>MAX(tbl_risco12M[CDI])</f>
        <v>5.9433691088166783E-3</v>
      </c>
      <c r="BK70" s="40">
        <f>MAX(tbl_risco12M[IVVB11])</f>
        <v>0.26026386610515101</v>
      </c>
      <c r="BL70" s="40">
        <f>MAX(tbl_risco12M[BOVA11])</f>
        <v>0.4374807091850918</v>
      </c>
      <c r="BM70" s="40">
        <f>MAX(tbl_risco12M[SMAL11])</f>
        <v>0.5183020740842158</v>
      </c>
      <c r="BN70" s="40">
        <f>MAX(tbl_risco12M[Conservadora])</f>
        <v>2.5785272575991551E-2</v>
      </c>
      <c r="BO70" s="40">
        <f>MAX(tbl_risco12M[Moderada])</f>
        <v>0.14557634257729452</v>
      </c>
      <c r="BP70" s="40">
        <f>MAX(tbl_risco12M[Agressiva])</f>
        <v>0.18998527758152015</v>
      </c>
    </row>
    <row r="71" spans="1:68" x14ac:dyDescent="0.2">
      <c r="A71" s="32">
        <v>44378</v>
      </c>
      <c r="B71" s="40"/>
      <c r="C71" s="40"/>
      <c r="D71" s="40"/>
      <c r="E71" s="40"/>
      <c r="F71" s="40"/>
      <c r="G71" s="40"/>
      <c r="H71" s="40"/>
      <c r="I71" s="40"/>
      <c r="M71" s="40"/>
      <c r="N71" s="40"/>
      <c r="O71" s="40"/>
      <c r="P71" s="40"/>
      <c r="Q71" s="40"/>
      <c r="R71" s="40"/>
      <c r="S71" s="40"/>
      <c r="T71" s="40"/>
      <c r="Y71" s="40"/>
      <c r="Z71" s="40"/>
      <c r="AA71" s="40"/>
      <c r="AB71" s="40"/>
      <c r="AC71" s="40"/>
      <c r="AD71" s="40"/>
      <c r="AE71" s="40"/>
      <c r="AF71" s="40"/>
      <c r="AJ71" s="32">
        <v>44378</v>
      </c>
      <c r="AK71" s="43"/>
      <c r="AL71" s="43"/>
      <c r="AM71" s="43"/>
      <c r="AN71" s="43"/>
      <c r="AO71" s="43"/>
      <c r="AP71" s="43"/>
      <c r="AQ71" s="43"/>
      <c r="AR71" s="43"/>
      <c r="AV71" s="44" t="s">
        <v>14</v>
      </c>
      <c r="AW71" s="40">
        <f>AVERAGE(tbl_ret12M[DÓLAR])</f>
        <v>6.6449641400545115E-2</v>
      </c>
      <c r="AX71" s="40">
        <f>AVERAGE(tbl_ret12M[CDI])</f>
        <v>6.5569961365989443E-2</v>
      </c>
      <c r="AY71" s="40">
        <f>AVERAGE(tbl_ret12M[IVVB11])</f>
        <v>0.26604493385568262</v>
      </c>
      <c r="AZ71" s="40">
        <f>AVERAGE(tbl_ret12M[BOVA11])</f>
        <v>0.19421558037499623</v>
      </c>
      <c r="BA71" s="40">
        <f>AVERAGE(tbl_ret12M[SMAL11])</f>
        <v>0.25772409418625397</v>
      </c>
      <c r="BB71" s="40">
        <f>AVERAGE(tbl_ret12M[Conservadora])</f>
        <v>8.2212868306655196E-2</v>
      </c>
      <c r="BC71" s="40">
        <f>AVERAGE(tbl_ret12M[Moderada])</f>
        <v>0.14673130195330633</v>
      </c>
      <c r="BD71" s="40">
        <f>AVERAGE(tbl_ret12M[Agressiva])</f>
        <v>0.19436436789786823</v>
      </c>
      <c r="BH71" s="44" t="s">
        <v>14</v>
      </c>
      <c r="BI71" s="40">
        <f>AVERAGE(tbl_risco12M[DÓLAR])</f>
        <v>0.15163216253736084</v>
      </c>
      <c r="BJ71" s="40">
        <f>AVERAGE(tbl_risco12M[CDI])</f>
        <v>2.8649131639836675E-3</v>
      </c>
      <c r="BK71" s="40">
        <f>AVERAGE(tbl_risco12M[IVVB11])</f>
        <v>0.18509980889577357</v>
      </c>
      <c r="BL71" s="40">
        <f>AVERAGE(tbl_risco12M[BOVA11])</f>
        <v>0.23614992369489307</v>
      </c>
      <c r="BM71" s="40">
        <f>AVERAGE(tbl_risco12M[SMAL11])</f>
        <v>0.25758931966757925</v>
      </c>
      <c r="BN71" s="40">
        <f>AVERAGE(tbl_risco12M[Conservadora])</f>
        <v>1.3598080464691397E-2</v>
      </c>
      <c r="BO71" s="40">
        <f>AVERAGE(tbl_risco12M[Moderada])</f>
        <v>6.8087154341999856E-2</v>
      </c>
      <c r="BP71" s="40">
        <f>AVERAGE(tbl_risco12M[Agressiva])</f>
        <v>9.0891516479639806E-2</v>
      </c>
    </row>
    <row r="72" spans="1:68" x14ac:dyDescent="0.2">
      <c r="A72" s="32">
        <v>44409</v>
      </c>
      <c r="B72" s="40"/>
      <c r="C72" s="40"/>
      <c r="D72" s="40"/>
      <c r="E72" s="40"/>
      <c r="F72" s="40"/>
      <c r="G72" s="40"/>
      <c r="H72" s="40"/>
      <c r="I72" s="40"/>
      <c r="M72" s="40"/>
      <c r="N72" s="40"/>
      <c r="O72" s="40"/>
      <c r="P72" s="40"/>
      <c r="Q72" s="40"/>
      <c r="R72" s="40"/>
      <c r="S72" s="40"/>
      <c r="T72" s="40"/>
      <c r="Y72" s="40"/>
      <c r="Z72" s="40"/>
      <c r="AA72" s="40"/>
      <c r="AB72" s="40"/>
      <c r="AC72" s="40"/>
      <c r="AD72" s="40"/>
      <c r="AE72" s="40"/>
      <c r="AF72" s="40"/>
      <c r="AJ72" s="32">
        <v>44409</v>
      </c>
      <c r="AK72" s="43"/>
      <c r="AL72" s="43"/>
      <c r="AM72" s="43"/>
      <c r="AN72" s="43"/>
      <c r="AO72" s="43"/>
      <c r="AP72" s="43"/>
      <c r="AQ72" s="43"/>
      <c r="AR72" s="43"/>
      <c r="AV72" s="44" t="s">
        <v>5</v>
      </c>
      <c r="AW72" s="40">
        <f>MIN(tbl_ret12M[DÓLAR])</f>
        <v>-0.2988027464833144</v>
      </c>
      <c r="AX72" s="40">
        <f>MIN(tbl_ret12M[CDI])</f>
        <v>9.6363274175506053E-3</v>
      </c>
      <c r="AY72" s="40">
        <f>MIN(tbl_ret12M[IVVB11])</f>
        <v>-9.3444329168681506E-2</v>
      </c>
      <c r="AZ72" s="40">
        <f>MIN(tbl_ret12M[BOVA11])</f>
        <v>-0.24460714202591027</v>
      </c>
      <c r="BA72" s="40">
        <f>MIN(tbl_ret12M[SMAL11])</f>
        <v>-0.15993920933529671</v>
      </c>
      <c r="BB72" s="40">
        <f>MIN(tbl_ret12M[Conservadora])</f>
        <v>1.8296189131157714E-2</v>
      </c>
      <c r="BC72" s="40">
        <f>MIN(tbl_ret12M[Moderada])</f>
        <v>2.6131719235382711E-2</v>
      </c>
      <c r="BD72" s="40">
        <f>MIN(tbl_ret12M[Agressiva])</f>
        <v>6.9090690999018989E-2</v>
      </c>
      <c r="BH72" s="44" t="s">
        <v>5</v>
      </c>
      <c r="BI72" s="40">
        <f>MIN(tbl_risco12M[DÓLAR])</f>
        <v>8.6303081162736106E-2</v>
      </c>
      <c r="BJ72" s="40">
        <f>MIN(tbl_risco12M[CDI])</f>
        <v>9.8903074683339277E-4</v>
      </c>
      <c r="BK72" s="40">
        <f>MIN(tbl_risco12M[IVVB11])</f>
        <v>8.2054549483310743E-2</v>
      </c>
      <c r="BL72" s="40">
        <f>MIN(tbl_risco12M[BOVA11])</f>
        <v>8.6819918116859462E-2</v>
      </c>
      <c r="BM72" s="40">
        <f>MIN(tbl_risco12M[SMAL11])</f>
        <v>0.11427572716102845</v>
      </c>
      <c r="BN72" s="40">
        <f>MIN(tbl_risco12M[Conservadora])</f>
        <v>6.2044060590401833E-3</v>
      </c>
      <c r="BO72" s="40">
        <f>MIN(tbl_risco12M[Moderada])</f>
        <v>3.0168236004718001E-2</v>
      </c>
      <c r="BP72" s="40">
        <f>MIN(tbl_risco12M[Agressiva])</f>
        <v>4.4326269145548838E-2</v>
      </c>
    </row>
    <row r="73" spans="1:68" x14ac:dyDescent="0.2">
      <c r="A73" s="32">
        <v>44440</v>
      </c>
      <c r="B73" s="40"/>
      <c r="C73" s="40"/>
      <c r="D73" s="40"/>
      <c r="E73" s="40"/>
      <c r="F73" s="40"/>
      <c r="G73" s="40"/>
      <c r="H73" s="40"/>
      <c r="I73" s="40"/>
      <c r="M73" s="40"/>
      <c r="N73" s="40"/>
      <c r="O73" s="40"/>
      <c r="P73" s="40"/>
      <c r="Q73" s="40"/>
      <c r="R73" s="40"/>
      <c r="S73" s="40"/>
      <c r="T73" s="40"/>
      <c r="Y73" s="40"/>
      <c r="Z73" s="40"/>
      <c r="AA73" s="40"/>
      <c r="AB73" s="40"/>
      <c r="AC73" s="40"/>
      <c r="AD73" s="40"/>
      <c r="AE73" s="40"/>
      <c r="AF73" s="40"/>
      <c r="AJ73" s="32">
        <v>44440</v>
      </c>
      <c r="AK73" s="43"/>
      <c r="AL73" s="43"/>
      <c r="AM73" s="43"/>
      <c r="AN73" s="43"/>
      <c r="AO73" s="43"/>
      <c r="AP73" s="43"/>
      <c r="AQ73" s="43"/>
      <c r="AR73" s="43"/>
      <c r="BH73" s="31"/>
    </row>
    <row r="74" spans="1:68" x14ac:dyDescent="0.2">
      <c r="A74" s="32">
        <v>44470</v>
      </c>
      <c r="B74" s="40"/>
      <c r="C74" s="40"/>
      <c r="D74" s="40"/>
      <c r="E74" s="40"/>
      <c r="F74" s="40"/>
      <c r="G74" s="40"/>
      <c r="H74" s="40"/>
      <c r="I74" s="40"/>
      <c r="M74" s="40"/>
      <c r="N74" s="40"/>
      <c r="O74" s="40"/>
      <c r="P74" s="40"/>
      <c r="Q74" s="40"/>
      <c r="R74" s="40"/>
      <c r="S74" s="40"/>
      <c r="T74" s="40"/>
      <c r="Y74" s="40"/>
      <c r="Z74" s="40"/>
      <c r="AA74" s="40"/>
      <c r="AB74" s="40"/>
      <c r="AC74" s="40"/>
      <c r="AD74" s="40"/>
      <c r="AE74" s="40"/>
      <c r="AF74" s="40"/>
      <c r="AJ74" s="32">
        <v>44470</v>
      </c>
      <c r="AK74" s="43"/>
      <c r="AL74" s="43"/>
      <c r="AM74" s="43"/>
      <c r="AN74" s="43"/>
      <c r="AO74" s="43"/>
      <c r="AP74" s="43"/>
      <c r="AQ74" s="43"/>
      <c r="AR74" s="43"/>
      <c r="BH74" s="31"/>
    </row>
    <row r="75" spans="1:68" x14ac:dyDescent="0.2">
      <c r="A75" s="32">
        <v>44501</v>
      </c>
      <c r="B75" s="40"/>
      <c r="C75" s="40"/>
      <c r="D75" s="40"/>
      <c r="E75" s="40"/>
      <c r="F75" s="40"/>
      <c r="G75" s="40"/>
      <c r="H75" s="40"/>
      <c r="I75" s="40"/>
      <c r="M75" s="40"/>
      <c r="N75" s="40"/>
      <c r="O75" s="40"/>
      <c r="P75" s="40"/>
      <c r="Q75" s="40"/>
      <c r="R75" s="40"/>
      <c r="S75" s="40"/>
      <c r="T75" s="40"/>
      <c r="Y75" s="40"/>
      <c r="Z75" s="40"/>
      <c r="AA75" s="40"/>
      <c r="AB75" s="40"/>
      <c r="AC75" s="40"/>
      <c r="AD75" s="40"/>
      <c r="AE75" s="40"/>
      <c r="AF75" s="40"/>
      <c r="AJ75" s="32">
        <v>44501</v>
      </c>
      <c r="AK75" s="43"/>
      <c r="AL75" s="43"/>
      <c r="AM75" s="43"/>
      <c r="AN75" s="43"/>
      <c r="AO75" s="43"/>
      <c r="AP75" s="43"/>
      <c r="AQ75" s="43"/>
      <c r="AR75" s="43"/>
      <c r="BH75" s="31"/>
    </row>
    <row r="76" spans="1:68" x14ac:dyDescent="0.2">
      <c r="A76" s="32">
        <v>44531</v>
      </c>
      <c r="B76" s="40"/>
      <c r="C76" s="40"/>
      <c r="D76" s="40"/>
      <c r="E76" s="40"/>
      <c r="F76" s="40"/>
      <c r="G76" s="40"/>
      <c r="H76" s="40"/>
      <c r="I76" s="40"/>
      <c r="M76" s="40"/>
      <c r="N76" s="40"/>
      <c r="O76" s="40"/>
      <c r="P76" s="40"/>
      <c r="Q76" s="40"/>
      <c r="R76" s="40"/>
      <c r="S76" s="40"/>
      <c r="T76" s="40"/>
      <c r="Y76" s="40"/>
      <c r="Z76" s="40"/>
      <c r="AA76" s="40"/>
      <c r="AB76" s="40"/>
      <c r="AC76" s="40"/>
      <c r="AD76" s="40"/>
      <c r="AE76" s="40"/>
      <c r="AF76" s="40"/>
      <c r="AJ76" s="32">
        <v>44531</v>
      </c>
      <c r="AK76" s="43"/>
      <c r="AL76" s="43"/>
      <c r="AM76" s="43"/>
      <c r="AN76" s="43"/>
      <c r="AO76" s="43"/>
      <c r="AP76" s="43"/>
      <c r="AQ76" s="43"/>
      <c r="AR76" s="43"/>
      <c r="BH76" s="31"/>
    </row>
    <row r="77" spans="1:68" x14ac:dyDescent="0.2">
      <c r="A77" s="31"/>
      <c r="B77" s="47"/>
      <c r="C77" s="47"/>
      <c r="D77" s="47"/>
      <c r="E77" s="47"/>
      <c r="F77" s="47"/>
      <c r="G77" s="40"/>
      <c r="H77" s="40"/>
      <c r="I77" s="40"/>
      <c r="AJ77" s="31"/>
      <c r="AK77" s="43"/>
      <c r="AL77" s="43"/>
      <c r="AM77" s="43"/>
      <c r="AN77" s="43"/>
      <c r="AO77" s="43"/>
      <c r="AP77" s="43"/>
      <c r="AQ77" s="43"/>
      <c r="AR77" s="43"/>
      <c r="BH77" s="31"/>
    </row>
    <row r="78" spans="1:68" x14ac:dyDescent="0.2">
      <c r="A78" s="31"/>
      <c r="B78" s="47"/>
      <c r="C78" s="47"/>
      <c r="D78" s="47"/>
      <c r="E78" s="47"/>
      <c r="F78" s="47"/>
      <c r="G78" s="40"/>
      <c r="H78" s="40"/>
      <c r="I78" s="40"/>
      <c r="AJ78" s="31"/>
      <c r="BH78" s="31"/>
    </row>
    <row r="79" spans="1:68" x14ac:dyDescent="0.2">
      <c r="A79" s="31"/>
      <c r="B79" s="47"/>
      <c r="C79" s="47"/>
      <c r="D79" s="47"/>
      <c r="E79" s="47"/>
      <c r="F79" s="47"/>
      <c r="G79" s="40"/>
      <c r="H79" s="40"/>
      <c r="I79" s="40"/>
      <c r="AJ79" s="31"/>
      <c r="BH79" s="31"/>
    </row>
    <row r="80" spans="1:68" x14ac:dyDescent="0.2">
      <c r="A80" s="31"/>
      <c r="B80" s="47"/>
      <c r="C80" s="47"/>
      <c r="D80" s="47"/>
      <c r="E80" s="47"/>
      <c r="F80" s="47"/>
      <c r="G80" s="40"/>
      <c r="H80" s="40"/>
      <c r="I80" s="40"/>
      <c r="AJ80" s="31"/>
      <c r="BH80" s="31"/>
    </row>
    <row r="81" spans="1:60" x14ac:dyDescent="0.2">
      <c r="A81" s="31"/>
      <c r="B81" s="47"/>
      <c r="C81" s="47"/>
      <c r="D81" s="47"/>
      <c r="E81" s="47"/>
      <c r="F81" s="47"/>
      <c r="G81" s="40"/>
      <c r="H81" s="40"/>
      <c r="I81" s="40"/>
      <c r="AJ81" s="31"/>
      <c r="BH81" s="31"/>
    </row>
    <row r="82" spans="1:60" x14ac:dyDescent="0.2">
      <c r="A82" s="31"/>
      <c r="B82" s="47"/>
      <c r="C82" s="47"/>
      <c r="D82" s="47"/>
      <c r="E82" s="47"/>
      <c r="F82" s="47"/>
      <c r="G82" s="40"/>
      <c r="H82" s="40"/>
      <c r="I82" s="40"/>
      <c r="AJ82" s="31"/>
      <c r="AK82" s="43">
        <f>MAX(tbl_evo100[DÓLAR])</f>
        <v>118.19944806140623</v>
      </c>
      <c r="AL82" s="43">
        <f>MAX(tbl_evo100[CDI])</f>
        <v>145.80146358067347</v>
      </c>
      <c r="AM82" s="43">
        <f>MAX(tbl_evo100[IVVB11])</f>
        <v>294.73168567913751</v>
      </c>
      <c r="AN82" s="43">
        <f>MAX(tbl_evo100[BOVA11])</f>
        <v>272.17859376463775</v>
      </c>
      <c r="AO82" s="43">
        <f>MAX(tbl_evo100[SMAL11])</f>
        <v>338.22250019493612</v>
      </c>
      <c r="AP82" s="43">
        <f>MAX(tbl_evo100[Conservadora])</f>
        <v>157.90228779195647</v>
      </c>
      <c r="AQ82" s="43">
        <f>MAX(tbl_evo100[Moderada])</f>
        <v>212.16177095965168</v>
      </c>
      <c r="AR82" s="43">
        <f>MAX(tbl_evo100[Agressiva])</f>
        <v>253.37708156731216</v>
      </c>
      <c r="BH82" s="31"/>
    </row>
    <row r="83" spans="1:60" x14ac:dyDescent="0.2">
      <c r="A83" s="31"/>
      <c r="B83" s="47"/>
      <c r="C83" s="47"/>
      <c r="D83" s="47"/>
      <c r="E83" s="47"/>
      <c r="F83" s="47"/>
      <c r="G83" s="40"/>
      <c r="H83" s="40"/>
      <c r="I83" s="40"/>
      <c r="AJ83" s="31"/>
      <c r="AK83" s="43">
        <f>AVERAGE(tbl_evo100[DÓLAR])</f>
        <v>85.352544195349623</v>
      </c>
      <c r="AL83" s="43">
        <f>AVERAGE(tbl_evo100[CDI])</f>
        <v>128.20351808672987</v>
      </c>
      <c r="AM83" s="43">
        <f>AVERAGE(tbl_evo100[IVVB11])</f>
        <v>144.22122266877778</v>
      </c>
      <c r="AN83" s="43">
        <f>AVERAGE(tbl_evo100[BOVA11])</f>
        <v>188.7135325406349</v>
      </c>
      <c r="AO83" s="43">
        <f>AVERAGE(tbl_evo100[SMAL11])</f>
        <v>207.62840336310558</v>
      </c>
      <c r="AP83" s="43">
        <f>AVERAGE(tbl_evo100[Conservadora])</f>
        <v>131.97714250287586</v>
      </c>
      <c r="AQ83" s="43">
        <f>AVERAGE(tbl_evo100[Moderada])</f>
        <v>148.90552336122764</v>
      </c>
      <c r="AR83" s="43">
        <f>AVERAGE(tbl_evo100[Agressiva])</f>
        <v>155.19610549940481</v>
      </c>
      <c r="BH83" s="31"/>
    </row>
    <row r="84" spans="1:60" x14ac:dyDescent="0.2">
      <c r="A84" s="31"/>
      <c r="B84" s="47"/>
      <c r="C84" s="47"/>
      <c r="D84" s="47"/>
      <c r="E84" s="47"/>
      <c r="F84" s="47"/>
      <c r="G84" s="40"/>
      <c r="H84" s="40"/>
      <c r="I84" s="40"/>
      <c r="AJ84" s="31"/>
      <c r="AK84" s="43">
        <f>MIN(tbl_evo100[DÓLAR])</f>
        <v>67.527967732223502</v>
      </c>
      <c r="AL84" s="43">
        <f>MIN(tbl_evo100[CDI])</f>
        <v>100</v>
      </c>
      <c r="AM84" s="43">
        <f>MIN(tbl_evo100[IVVB11])</f>
        <v>82.912288354849352</v>
      </c>
      <c r="AN84" s="43">
        <f>MIN(tbl_evo100[BOVA11])</f>
        <v>93.02</v>
      </c>
      <c r="AO84" s="43">
        <f>MIN(tbl_evo100[SMAL11])</f>
        <v>90.8</v>
      </c>
      <c r="AP84" s="43">
        <f>MIN(tbl_evo100[Conservadora])</f>
        <v>100</v>
      </c>
      <c r="AQ84" s="43">
        <f>MIN(tbl_evo100[Moderada])</f>
        <v>97.291499999999999</v>
      </c>
      <c r="AR84" s="43">
        <f>MIN(tbl_evo100[Agressiva])</f>
        <v>95.540500000000009</v>
      </c>
      <c r="BH84" s="31"/>
    </row>
    <row r="85" spans="1:60" x14ac:dyDescent="0.2">
      <c r="A85" s="31"/>
      <c r="B85" s="47"/>
      <c r="C85" s="47"/>
      <c r="D85" s="47"/>
      <c r="E85" s="47"/>
      <c r="F85" s="47"/>
      <c r="G85" s="40"/>
      <c r="H85" s="40"/>
      <c r="I85" s="40"/>
      <c r="AJ85" s="31"/>
      <c r="BH85" s="31"/>
    </row>
    <row r="86" spans="1:60" x14ac:dyDescent="0.2">
      <c r="A86" s="31"/>
      <c r="B86" s="47"/>
      <c r="C86" s="47"/>
      <c r="D86" s="47"/>
      <c r="E86" s="47"/>
      <c r="F86" s="47"/>
      <c r="G86" s="40"/>
      <c r="H86" s="40"/>
      <c r="I86" s="40"/>
      <c r="AJ86" s="31"/>
      <c r="BH86" s="31"/>
    </row>
    <row r="87" spans="1:60" x14ac:dyDescent="0.2">
      <c r="A87" s="31"/>
      <c r="B87" s="47"/>
      <c r="C87" s="47"/>
      <c r="D87" s="47"/>
      <c r="E87" s="47"/>
      <c r="F87" s="47"/>
      <c r="G87" s="40"/>
      <c r="H87" s="40"/>
      <c r="I87" s="40"/>
      <c r="AJ87" s="31"/>
      <c r="BH87" s="31"/>
    </row>
    <row r="88" spans="1:60" x14ac:dyDescent="0.2">
      <c r="A88" s="31"/>
      <c r="B88" s="47"/>
      <c r="C88" s="47"/>
      <c r="D88" s="47"/>
      <c r="E88" s="47"/>
      <c r="F88" s="47"/>
      <c r="G88" s="40"/>
      <c r="H88" s="40"/>
      <c r="I88" s="40"/>
      <c r="AJ88" s="31"/>
      <c r="BH88" s="31"/>
    </row>
    <row r="89" spans="1:60" x14ac:dyDescent="0.2">
      <c r="A89" s="31"/>
      <c r="B89" s="47"/>
      <c r="C89" s="47"/>
      <c r="D89" s="47"/>
      <c r="E89" s="47"/>
      <c r="F89" s="47"/>
      <c r="G89" s="40"/>
      <c r="H89" s="40"/>
      <c r="I89" s="40"/>
      <c r="AJ89" s="31"/>
      <c r="BH89" s="31"/>
    </row>
    <row r="90" spans="1:60" x14ac:dyDescent="0.2">
      <c r="A90" s="31"/>
      <c r="B90" s="40"/>
      <c r="C90" s="40"/>
      <c r="D90" s="40"/>
      <c r="E90" s="40"/>
      <c r="F90" s="40"/>
      <c r="G90" s="40"/>
      <c r="H90" s="40"/>
      <c r="I90" s="40"/>
      <c r="AJ90" s="31"/>
      <c r="BH90" s="31"/>
    </row>
  </sheetData>
  <phoneticPr fontId="18" type="noConversion"/>
  <pageMargins left="0.7" right="0.7" top="0.75" bottom="0.75" header="0.3" footer="0.3"/>
  <pageSetup paperSize="9" orientation="portrait" r:id="rId1"/>
  <ignoredErrors>
    <ignoredError sqref="M5:Q10" formulaRange="1"/>
    <ignoredError sqref="AK5:AR5" calculatedColumn="1"/>
  </ignoredErrors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Carteiras</vt:lpstr>
      <vt:lpstr>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Avila</dc:creator>
  <cp:lastModifiedBy>Acer</cp:lastModifiedBy>
  <dcterms:created xsi:type="dcterms:W3CDTF">2012-01-17T00:53:29Z</dcterms:created>
  <dcterms:modified xsi:type="dcterms:W3CDTF">2025-05-26T22:05:46Z</dcterms:modified>
</cp:coreProperties>
</file>